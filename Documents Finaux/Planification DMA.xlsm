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Documents Finaux\"/>
    </mc:Choice>
  </mc:AlternateContent>
  <bookViews>
    <workbookView xWindow="21225" yWindow="90" windowWidth="19185" windowHeight="20850" activeTab="2"/>
  </bookViews>
  <sheets>
    <sheet name="Base" sheetId="7" r:id="rId1"/>
    <sheet name="Planning" sheetId="1" r:id="rId2"/>
    <sheet name="Journal" sheetId="6" r:id="rId3"/>
    <sheet name="Calendrier" sheetId="8" r:id="rId4"/>
  </sheets>
  <definedNames>
    <definedName name="_xlnm.Print_Area" localSheetId="1">Planning!$B$1:$T$100</definedName>
  </definedNames>
  <calcPr calcId="162913"/>
</workbook>
</file>

<file path=xl/calcChain.xml><?xml version="1.0" encoding="utf-8"?>
<calcChain xmlns="http://schemas.openxmlformats.org/spreadsheetml/2006/main">
  <c r="G18" i="8" l="1"/>
  <c r="G19" i="8"/>
  <c r="G20" i="8"/>
  <c r="G21" i="8"/>
  <c r="G17" i="8"/>
  <c r="F18" i="8"/>
  <c r="F19" i="8"/>
  <c r="F20" i="8"/>
  <c r="F21" i="8"/>
  <c r="F17" i="8"/>
  <c r="D26" i="8"/>
  <c r="E22" i="8"/>
  <c r="D22" i="8"/>
  <c r="C22" i="8"/>
  <c r="B22" i="8"/>
  <c r="B55" i="6"/>
  <c r="B74" i="6"/>
  <c r="B66" i="6"/>
  <c r="B56" i="6" l="1"/>
  <c r="B42" i="6" l="1"/>
  <c r="B36" i="6"/>
  <c r="B34" i="6" l="1"/>
  <c r="B33" i="6"/>
  <c r="B32" i="6"/>
  <c r="B31" i="6"/>
  <c r="B30" i="6"/>
  <c r="I7" i="8" l="1"/>
  <c r="I6" i="8"/>
  <c r="I5" i="8"/>
  <c r="I4" i="8"/>
  <c r="I3" i="8"/>
  <c r="I2" i="8"/>
  <c r="B7" i="6" l="1"/>
  <c r="S100" i="1"/>
  <c r="B5" i="6"/>
  <c r="C100" i="1" l="1"/>
  <c r="C98" i="1"/>
  <c r="C86" i="1"/>
  <c r="D86" i="1"/>
  <c r="S86" i="1"/>
  <c r="C84" i="1" l="1"/>
  <c r="C82" i="1"/>
  <c r="C80" i="1"/>
  <c r="C78" i="1"/>
  <c r="C76" i="1"/>
  <c r="C74" i="1"/>
  <c r="C72" i="1"/>
  <c r="C70" i="1"/>
  <c r="D72" i="1"/>
  <c r="S72" i="1"/>
  <c r="D74" i="1"/>
  <c r="S74" i="1"/>
  <c r="D76" i="1"/>
  <c r="S76" i="1"/>
  <c r="D78" i="1"/>
  <c r="S78" i="1"/>
  <c r="D80" i="1"/>
  <c r="S80" i="1"/>
  <c r="D82" i="1"/>
  <c r="S82" i="1"/>
  <c r="D84" i="1"/>
  <c r="D70" i="1"/>
  <c r="S70" i="1"/>
  <c r="C68" i="1"/>
  <c r="C56" i="1"/>
  <c r="D56" i="1"/>
  <c r="S56" i="1"/>
  <c r="C54" i="1"/>
  <c r="C36" i="1"/>
  <c r="C40" i="1"/>
  <c r="C38" i="1"/>
  <c r="C34" i="1"/>
  <c r="C32" i="1"/>
  <c r="C30" i="1"/>
  <c r="C28" i="1"/>
  <c r="C26" i="1"/>
  <c r="C24" i="1"/>
  <c r="C22" i="1"/>
  <c r="D22" i="1"/>
  <c r="S22" i="1"/>
  <c r="D24" i="1"/>
  <c r="S24" i="1"/>
  <c r="D26" i="1"/>
  <c r="S26" i="1"/>
  <c r="D28" i="1"/>
  <c r="S28" i="1"/>
  <c r="D30" i="1"/>
  <c r="S30" i="1"/>
  <c r="D32" i="1"/>
  <c r="S32" i="1"/>
  <c r="D34" i="1"/>
  <c r="S34" i="1"/>
  <c r="D36" i="1"/>
  <c r="S36" i="1"/>
  <c r="D38" i="1"/>
  <c r="S38" i="1"/>
  <c r="D40" i="1"/>
  <c r="S40" i="1"/>
  <c r="C52" i="1"/>
  <c r="D52" i="1"/>
  <c r="S52" i="1"/>
  <c r="D54" i="1"/>
  <c r="S54" i="1"/>
  <c r="B2" i="1" l="1"/>
  <c r="B13" i="6"/>
  <c r="B14" i="6"/>
  <c r="B15" i="6"/>
  <c r="B16" i="6"/>
  <c r="C10" i="1" l="1"/>
  <c r="C60" i="1"/>
  <c r="S98" i="1" l="1"/>
  <c r="S12" i="1"/>
  <c r="S14" i="1"/>
  <c r="S16" i="1"/>
  <c r="S10" i="1"/>
  <c r="B42" i="1"/>
  <c r="S8" i="1"/>
  <c r="B50" i="6" l="1"/>
  <c r="C12" i="1" l="1"/>
  <c r="B20" i="6"/>
  <c r="B25" i="6" l="1"/>
  <c r="B8" i="6" l="1"/>
  <c r="S96" i="1" l="1"/>
  <c r="S94" i="1"/>
  <c r="S92" i="1"/>
  <c r="S90" i="1"/>
  <c r="S68" i="1"/>
  <c r="S66" i="1"/>
  <c r="S64" i="1"/>
  <c r="S62" i="1"/>
  <c r="S60" i="1"/>
  <c r="S50" i="1"/>
  <c r="S48" i="1"/>
  <c r="S46" i="1"/>
  <c r="S44" i="1"/>
  <c r="S20" i="1"/>
  <c r="E1" i="6" l="1"/>
  <c r="C96" i="1" l="1"/>
  <c r="C94" i="1"/>
  <c r="C92" i="1"/>
  <c r="C90" i="1"/>
  <c r="C66" i="1"/>
  <c r="C64" i="1"/>
  <c r="C62" i="1"/>
  <c r="C50" i="1"/>
  <c r="C48" i="1"/>
  <c r="C46" i="1"/>
  <c r="C44" i="1"/>
  <c r="C20" i="1"/>
  <c r="C16" i="1"/>
  <c r="C14" i="1"/>
  <c r="C8" i="1"/>
  <c r="B88" i="1"/>
  <c r="B58" i="1"/>
  <c r="B18" i="1"/>
  <c r="B6" i="1"/>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E2" i="1"/>
  <c r="G2" i="1" s="1"/>
  <c r="C1" i="1"/>
  <c r="D96" i="1"/>
  <c r="D66" i="1"/>
  <c r="D16" i="1" l="1"/>
  <c r="D98" i="1"/>
  <c r="D94" i="1"/>
  <c r="D92" i="1"/>
  <c r="D90" i="1"/>
  <c r="B88" i="6" l="1"/>
  <c r="B87" i="6"/>
  <c r="B86" i="6"/>
  <c r="B84" i="6"/>
  <c r="B83" i="6"/>
  <c r="B81" i="6"/>
  <c r="B80" i="6"/>
  <c r="B78" i="6"/>
  <c r="B77" i="6"/>
  <c r="B75" i="6"/>
  <c r="B73" i="6"/>
  <c r="B70" i="6"/>
  <c r="B68" i="6"/>
  <c r="B67" i="6"/>
  <c r="B64" i="6"/>
  <c r="B63" i="6"/>
  <c r="B61" i="6"/>
  <c r="B59" i="6"/>
  <c r="B58" i="6"/>
  <c r="B54" i="6"/>
  <c r="B52" i="6"/>
  <c r="B51" i="6"/>
  <c r="B49" i="6"/>
  <c r="B48" i="6"/>
  <c r="B46" i="6"/>
  <c r="B45" i="6"/>
  <c r="B43" i="6"/>
  <c r="B41" i="6"/>
  <c r="B39" i="6"/>
  <c r="B38" i="6"/>
  <c r="B35" i="6"/>
  <c r="B29" i="6"/>
  <c r="B28" i="6"/>
  <c r="B26" i="6"/>
  <c r="B24" i="6"/>
  <c r="B23" i="6"/>
  <c r="B21" i="6"/>
  <c r="B19" i="6"/>
  <c r="B17" i="6"/>
  <c r="B12" i="6"/>
  <c r="B11" i="6"/>
  <c r="B10" i="6"/>
  <c r="B9" i="6"/>
  <c r="B6" i="6"/>
  <c r="B4" i="1"/>
  <c r="D87" i="1" s="1"/>
  <c r="C1" i="6"/>
  <c r="E5" i="1"/>
  <c r="G5" i="1"/>
  <c r="D73" i="1" l="1"/>
  <c r="D81" i="1"/>
  <c r="D85" i="1"/>
  <c r="D75" i="1"/>
  <c r="D77" i="1"/>
  <c r="D79" i="1"/>
  <c r="D83" i="1"/>
  <c r="D57" i="1"/>
  <c r="D71" i="1"/>
  <c r="D25" i="1"/>
  <c r="D27" i="1"/>
  <c r="D35" i="1"/>
  <c r="D37" i="1"/>
  <c r="D41" i="1"/>
  <c r="D39" i="1"/>
  <c r="D29" i="1"/>
  <c r="D31" i="1"/>
  <c r="D23" i="1"/>
  <c r="D33" i="1"/>
  <c r="D55" i="1"/>
  <c r="D53" i="1"/>
  <c r="D97" i="1"/>
  <c r="D9" i="1"/>
  <c r="D67" i="1"/>
  <c r="D17" i="1"/>
  <c r="D93" i="1"/>
  <c r="D95" i="1"/>
  <c r="D91" i="1"/>
  <c r="S88" i="1" s="1"/>
  <c r="D99" i="1"/>
  <c r="I2" i="1"/>
  <c r="D69" i="1"/>
  <c r="D68" i="1"/>
  <c r="D65" i="1"/>
  <c r="D64" i="1"/>
  <c r="D63" i="1"/>
  <c r="D62" i="1"/>
  <c r="D61" i="1"/>
  <c r="D60" i="1"/>
  <c r="S58" i="1" s="1"/>
  <c r="D51" i="1"/>
  <c r="D50" i="1"/>
  <c r="D49" i="1"/>
  <c r="D48" i="1"/>
  <c r="D47" i="1"/>
  <c r="D46" i="1"/>
  <c r="D45" i="1"/>
  <c r="D44" i="1"/>
  <c r="D21" i="1"/>
  <c r="D20" i="1"/>
  <c r="S18" i="1" s="1"/>
  <c r="D15" i="1"/>
  <c r="D14" i="1"/>
  <c r="D13" i="1"/>
  <c r="D12" i="1"/>
  <c r="D11" i="1"/>
  <c r="D10" i="1"/>
  <c r="D8" i="1"/>
  <c r="S42" i="1" l="1"/>
  <c r="S6" i="1"/>
  <c r="O3" i="1"/>
  <c r="G3" i="1"/>
  <c r="Q3" i="1"/>
  <c r="I3" i="1"/>
  <c r="K3" i="1"/>
  <c r="M3" i="1"/>
  <c r="E3" i="1"/>
  <c r="I5" i="1"/>
  <c r="K2" i="1"/>
  <c r="C3" i="1" l="1"/>
  <c r="M2" i="1"/>
  <c r="K5" i="1"/>
  <c r="M5" i="1" l="1"/>
  <c r="O2" i="1"/>
  <c r="O5" i="1" l="1"/>
  <c r="Q2" i="1"/>
  <c r="Q5" i="1" l="1"/>
  <c r="B69" i="6" l="1"/>
  <c r="B27" i="6"/>
  <c r="B71" i="6"/>
  <c r="B82" i="6"/>
  <c r="B57" i="6"/>
  <c r="B40" i="6"/>
  <c r="B62" i="6"/>
  <c r="B76" i="6"/>
  <c r="B44" i="6"/>
  <c r="B18" i="6"/>
  <c r="B65" i="6"/>
  <c r="B47" i="6"/>
  <c r="B37" i="6"/>
  <c r="B53" i="6"/>
  <c r="B22" i="6"/>
  <c r="B60" i="6"/>
  <c r="B79" i="6"/>
  <c r="B85" i="6"/>
  <c r="B72" i="6"/>
  <c r="Q77" i="1" l="1"/>
  <c r="E101" i="1"/>
  <c r="Q37" i="1"/>
  <c r="Q33" i="1"/>
  <c r="Q85" i="1"/>
  <c r="Q39" i="1"/>
  <c r="Q25" i="1"/>
  <c r="Q75" i="1"/>
  <c r="Q29" i="1"/>
  <c r="Q35" i="1"/>
  <c r="K101" i="1"/>
  <c r="E87" i="1"/>
  <c r="E73" i="1"/>
  <c r="G77" i="1"/>
  <c r="E41" i="1"/>
  <c r="M101" i="1"/>
  <c r="M87" i="1"/>
  <c r="I87" i="1"/>
  <c r="E85" i="1"/>
  <c r="G75" i="1"/>
  <c r="G57" i="1"/>
  <c r="G27" i="1"/>
  <c r="G29" i="1"/>
  <c r="E31" i="1"/>
  <c r="E39" i="1"/>
  <c r="G55" i="1"/>
  <c r="O101" i="1"/>
  <c r="O87" i="1"/>
  <c r="E75" i="1"/>
  <c r="E79" i="1"/>
  <c r="G85" i="1"/>
  <c r="G71" i="1"/>
  <c r="G35" i="1"/>
  <c r="G39" i="1"/>
  <c r="E23" i="1"/>
  <c r="E37" i="1"/>
  <c r="G53" i="1"/>
  <c r="Q101" i="1"/>
  <c r="K87" i="1"/>
  <c r="E77" i="1"/>
  <c r="G73" i="1"/>
  <c r="G25" i="1"/>
  <c r="E33" i="1"/>
  <c r="E27" i="1"/>
  <c r="E29" i="1"/>
  <c r="E71" i="1"/>
  <c r="E55" i="1"/>
  <c r="G101" i="1"/>
  <c r="G87" i="1"/>
  <c r="E83" i="1"/>
  <c r="G81" i="1"/>
  <c r="G83" i="1"/>
  <c r="G33" i="1"/>
  <c r="E25" i="1"/>
  <c r="E53" i="1"/>
  <c r="G31" i="1"/>
  <c r="I101" i="1"/>
  <c r="Q87" i="1"/>
  <c r="E81" i="1"/>
  <c r="G79" i="1"/>
  <c r="E57" i="1"/>
  <c r="G41" i="1"/>
  <c r="G23" i="1"/>
  <c r="E35" i="1"/>
  <c r="G37" i="1"/>
  <c r="I83" i="1"/>
  <c r="I81" i="1"/>
  <c r="I41" i="1"/>
  <c r="I33" i="1"/>
  <c r="I85" i="1"/>
  <c r="I57" i="1"/>
  <c r="I39" i="1"/>
  <c r="I55" i="1"/>
  <c r="I73" i="1"/>
  <c r="I71" i="1"/>
  <c r="I29" i="1"/>
  <c r="I53" i="1"/>
  <c r="I75" i="1"/>
  <c r="I25" i="1"/>
  <c r="I37" i="1"/>
  <c r="I77" i="1"/>
  <c r="I27" i="1"/>
  <c r="I31" i="1"/>
  <c r="I79" i="1"/>
  <c r="I35" i="1"/>
  <c r="I23" i="1"/>
  <c r="K77" i="1"/>
  <c r="K75" i="1"/>
  <c r="K35" i="1"/>
  <c r="K39" i="1"/>
  <c r="K79" i="1"/>
  <c r="K57" i="1"/>
  <c r="K31" i="1"/>
  <c r="K53" i="1"/>
  <c r="K83" i="1"/>
  <c r="K71" i="1"/>
  <c r="K41" i="1"/>
  <c r="K55" i="1"/>
  <c r="K81" i="1"/>
  <c r="K23" i="1"/>
  <c r="K29" i="1"/>
  <c r="K73" i="1"/>
  <c r="K33" i="1"/>
  <c r="K37" i="1"/>
  <c r="K85" i="1"/>
  <c r="K25" i="1"/>
  <c r="K27" i="1"/>
  <c r="M77" i="1"/>
  <c r="M79" i="1"/>
  <c r="M25" i="1"/>
  <c r="M29" i="1"/>
  <c r="M75" i="1"/>
  <c r="M57" i="1"/>
  <c r="M35" i="1"/>
  <c r="M55" i="1"/>
  <c r="M85" i="1"/>
  <c r="M71" i="1"/>
  <c r="M39" i="1"/>
  <c r="M53" i="1"/>
  <c r="M81" i="1"/>
  <c r="M31" i="1"/>
  <c r="M37" i="1"/>
  <c r="M83" i="1"/>
  <c r="M23" i="1"/>
  <c r="M27" i="1"/>
  <c r="M73" i="1"/>
  <c r="M33" i="1"/>
  <c r="M41" i="1"/>
  <c r="O75" i="1"/>
  <c r="O81" i="1"/>
  <c r="O27" i="1"/>
  <c r="O37" i="1"/>
  <c r="O83" i="1"/>
  <c r="O57" i="1"/>
  <c r="O33" i="1"/>
  <c r="O55" i="1"/>
  <c r="O77" i="1"/>
  <c r="O71" i="1"/>
  <c r="O41" i="1"/>
  <c r="O53" i="1"/>
  <c r="O79" i="1"/>
  <c r="O29" i="1"/>
  <c r="O39" i="1"/>
  <c r="O73" i="1"/>
  <c r="O31" i="1"/>
  <c r="O25" i="1"/>
  <c r="O85" i="1"/>
  <c r="O23" i="1"/>
  <c r="O35" i="1"/>
  <c r="Q55" i="1"/>
  <c r="Q41" i="1"/>
  <c r="Q71" i="1"/>
  <c r="Q79" i="1"/>
  <c r="Q53" i="1"/>
  <c r="Q31" i="1"/>
  <c r="Q57" i="1"/>
  <c r="Q81" i="1"/>
  <c r="Q27" i="1"/>
  <c r="Q23" i="1"/>
  <c r="Q73" i="1"/>
  <c r="Q83" i="1"/>
  <c r="E13" i="1"/>
  <c r="G51" i="1"/>
  <c r="G95" i="1"/>
  <c r="G99" i="1"/>
  <c r="E93" i="1"/>
  <c r="E99" i="1"/>
  <c r="G47" i="1"/>
  <c r="E51" i="1"/>
  <c r="E67" i="1"/>
  <c r="E69" i="1"/>
  <c r="G17" i="1"/>
  <c r="E97" i="1"/>
  <c r="G69" i="1"/>
  <c r="G63" i="1"/>
  <c r="E95" i="1"/>
  <c r="G11" i="1"/>
  <c r="E17" i="1"/>
  <c r="E49" i="1"/>
  <c r="G9" i="1"/>
  <c r="G49" i="1"/>
  <c r="G13" i="1"/>
  <c r="E15" i="1"/>
  <c r="G93" i="1"/>
  <c r="G97" i="1"/>
  <c r="E47" i="1"/>
  <c r="E63" i="1"/>
  <c r="G15" i="1"/>
  <c r="G67" i="1"/>
  <c r="G65" i="1"/>
  <c r="E65" i="1"/>
  <c r="E11" i="1"/>
  <c r="E91" i="1"/>
  <c r="I49" i="1"/>
  <c r="I13" i="1"/>
  <c r="I69" i="1"/>
  <c r="I17" i="1"/>
  <c r="I95" i="1"/>
  <c r="I99" i="1"/>
  <c r="I11" i="1"/>
  <c r="I93" i="1"/>
  <c r="I65" i="1"/>
  <c r="I63" i="1"/>
  <c r="I51" i="1"/>
  <c r="I97" i="1"/>
  <c r="I67" i="1"/>
  <c r="I15" i="1"/>
  <c r="I47" i="1"/>
  <c r="K97" i="1"/>
  <c r="K15" i="1"/>
  <c r="K69" i="1"/>
  <c r="K13" i="1"/>
  <c r="K67" i="1"/>
  <c r="K65" i="1"/>
  <c r="K93" i="1"/>
  <c r="K99" i="1"/>
  <c r="K49" i="1"/>
  <c r="K51" i="1"/>
  <c r="K95" i="1"/>
  <c r="K63" i="1"/>
  <c r="K17" i="1"/>
  <c r="K47" i="1"/>
  <c r="K11" i="1"/>
  <c r="M67" i="1"/>
  <c r="M65" i="1"/>
  <c r="M17" i="1"/>
  <c r="M97" i="1"/>
  <c r="M15" i="1"/>
  <c r="M69" i="1"/>
  <c r="M47" i="1"/>
  <c r="M93" i="1"/>
  <c r="M51" i="1"/>
  <c r="M49" i="1"/>
  <c r="M63" i="1"/>
  <c r="M13" i="1"/>
  <c r="M11" i="1"/>
  <c r="M99" i="1"/>
  <c r="M95" i="1"/>
  <c r="O93" i="1"/>
  <c r="O15" i="1"/>
  <c r="O67" i="1"/>
  <c r="O11" i="1"/>
  <c r="O65" i="1"/>
  <c r="O63" i="1"/>
  <c r="O69" i="1"/>
  <c r="O17" i="1"/>
  <c r="O95" i="1"/>
  <c r="O97" i="1"/>
  <c r="O47" i="1"/>
  <c r="O13" i="1"/>
  <c r="O99" i="1"/>
  <c r="O49" i="1"/>
  <c r="O51" i="1"/>
  <c r="Q47" i="1"/>
  <c r="Q15" i="1"/>
  <c r="Q95" i="1"/>
  <c r="Q13" i="1"/>
  <c r="Q11" i="1"/>
  <c r="Q63" i="1"/>
  <c r="Q97" i="1"/>
  <c r="Q65" i="1"/>
  <c r="Q93" i="1"/>
  <c r="Q67" i="1"/>
  <c r="Q69" i="1"/>
  <c r="Q51" i="1"/>
  <c r="Q49" i="1"/>
  <c r="Q99" i="1"/>
  <c r="Q17" i="1"/>
  <c r="O61" i="1"/>
  <c r="E9" i="1"/>
  <c r="G91" i="1"/>
  <c r="G21" i="1"/>
  <c r="M21" i="1"/>
  <c r="E61" i="1"/>
  <c r="G61" i="1"/>
  <c r="I91" i="1"/>
  <c r="K91" i="1"/>
  <c r="M91" i="1"/>
  <c r="O91" i="1"/>
  <c r="Q91" i="1"/>
  <c r="O9" i="1"/>
  <c r="K21" i="1"/>
  <c r="I61" i="1"/>
  <c r="G45" i="1"/>
  <c r="M45" i="1"/>
  <c r="I21" i="1"/>
  <c r="I45" i="1"/>
  <c r="O21" i="1"/>
  <c r="K61" i="1"/>
  <c r="M9" i="1"/>
  <c r="Q9" i="1"/>
  <c r="Q45" i="1"/>
  <c r="Q61" i="1"/>
  <c r="M61" i="1"/>
  <c r="O45" i="1"/>
  <c r="E21" i="1"/>
  <c r="I9" i="1"/>
  <c r="E45" i="1"/>
  <c r="K9" i="1"/>
  <c r="K45" i="1"/>
  <c r="Q21" i="1"/>
  <c r="S81" i="1" l="1"/>
  <c r="S41" i="1"/>
  <c r="S23" i="1"/>
  <c r="S27" i="1"/>
  <c r="S71" i="1"/>
  <c r="S101" i="1"/>
  <c r="S57" i="1"/>
  <c r="S55" i="1"/>
  <c r="S83" i="1"/>
  <c r="S31" i="1"/>
  <c r="S73" i="1"/>
  <c r="S53" i="1"/>
  <c r="S77" i="1"/>
  <c r="S79" i="1"/>
  <c r="S87" i="1"/>
  <c r="S25" i="1"/>
  <c r="S39" i="1"/>
  <c r="S85" i="1"/>
  <c r="S35" i="1"/>
  <c r="S33" i="1"/>
  <c r="S29" i="1"/>
  <c r="S37" i="1"/>
  <c r="S75" i="1"/>
  <c r="S17" i="1"/>
  <c r="S13" i="1"/>
  <c r="S21" i="1"/>
  <c r="S15" i="1"/>
  <c r="S11" i="1"/>
  <c r="S91" i="1"/>
  <c r="G4" i="1"/>
  <c r="Q4" i="1"/>
  <c r="M4" i="1"/>
  <c r="K4" i="1"/>
  <c r="I4" i="1"/>
  <c r="O4" i="1"/>
  <c r="S19" i="1" l="1"/>
  <c r="S47" i="1"/>
  <c r="S65" i="1"/>
  <c r="S45" i="1" l="1"/>
  <c r="S93" i="1"/>
  <c r="S69" i="1"/>
  <c r="S95" i="1"/>
  <c r="S63" i="1"/>
  <c r="S61" i="1"/>
  <c r="S99" i="1"/>
  <c r="S49" i="1"/>
  <c r="S67" i="1"/>
  <c r="S97" i="1"/>
  <c r="S9" i="1"/>
  <c r="S51" i="1"/>
  <c r="S89" i="1" l="1"/>
  <c r="S59" i="1"/>
  <c r="S43" i="1"/>
  <c r="S7" i="1"/>
  <c r="E4" i="1"/>
  <c r="C4" i="1" s="1"/>
</calcChain>
</file>

<file path=xl/sharedStrings.xml><?xml version="1.0" encoding="utf-8"?>
<sst xmlns="http://schemas.openxmlformats.org/spreadsheetml/2006/main" count="230" uniqueCount="144">
  <si>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</si>
  <si>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</si>
  <si>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</si>
  <si>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</si>
  <si>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</si>
  <si>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</si>
  <si>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</si>
  <si>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</si>
  <si>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</si>
  <si>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</si>
  <si>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</si>
  <si>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</si>
  <si>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</si>
  <si>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</si>
  <si>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</si>
  <si>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</si>
  <si>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</si>
  <si>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</si>
  <si>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</si>
  <si>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</si>
  <si>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</si>
  <si>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</si>
  <si>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</si>
  <si>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</si>
  <si>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</si>
  <si>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</si>
  <si>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</si>
  <si>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</si>
  <si>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</si>
  <si>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</si>
  <si>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</si>
  <si>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</si>
  <si>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</si>
  <si>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</si>
  <si>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</si>
  <si>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</si>
  <si>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</si>
  <si>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</si>
  <si>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</si>
  <si>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</si>
  <si>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</si>
  <si>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</si>
  <si>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</si>
  <si>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</si>
  <si>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</si>
  <si>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</si>
  <si>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</si>
  <si>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</si>
  <si>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</si>
  <si>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</si>
  <si>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</si>
  <si>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</si>
  <si>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</si>
  <si>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</si>
  <si>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</si>
  <si>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</si>
  <si>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</si>
  <si>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</si>
  <si>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</si>
  <si>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</si>
  <si>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</si>
  <si>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</si>
  <si>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</si>
  <si>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</si>
  <si>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</si>
  <si>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</si>
  <si>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</si>
  <si>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</si>
  <si>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</si>
  <si>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</si>
  <si>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</si>
  <si>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</si>
  <si>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</si>
  <si>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</si>
  <si>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</si>
  <si>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</si>
  <si>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</si>
  <si>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</si>
  <si>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</si>
  <si>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</si>
  <si>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</si>
  <si>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</si>
  <si>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</si>
  <si>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</si>
  <si>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</si>
  <si>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</si>
  <si>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</si>
  <si>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</si>
  <si>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</si>
  <si>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</si>
  <si>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</si>
  <si>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</si>
  <si>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</si>
  <si>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</si>
  <si>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</si>
  <si>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</si>
  <si>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</si>
  <si>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</si>
  <si>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</si>
  <si>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</si>
  <si>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</si>
  <si>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</si>
  <si>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</si>
  <si>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</si>
  <si>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</si>
  <si>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</si>
  <si>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</si>
  <si>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</si>
  <si>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</si>
  <si>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</si>
  <si>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</si>
  <si>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</si>
  <si>
    <t>Absence décès, compensation le 26.05.2023</t>
  </si>
  <si>
    <t>Recherches Spanning Tree Protocol</t>
  </si>
  <si>
    <t>Recherches réseau du CPNV</t>
  </si>
  <si>
    <t>Amenagement du poste de travail du télétravailleur</t>
  </si>
  <si>
    <t>Téléchargement et installation FortiClientVPN</t>
  </si>
  <si>
    <t>Succès</t>
  </si>
  <si>
    <t>Ne fontionnait pas, ai essayé plusieurs correction et au final c'est la consultation des log vpn du fortigate qui indique un problème de phase 2. Donc mes protocoles d'authentification et d'encryption ne correspondent pas entre la configuration du client et celle du pare-feu. Après correction, le client se connecte.</t>
  </si>
  <si>
    <t>Mise au propres de différents éléments qui rejoindront la présentation: table de routage, plan réseau, tests.  Arrivant au bout du projet, je vais commencer à mettre les différentes pièces dans le document final.</t>
  </si>
  <si>
    <t>Test de fonctionnement du site2site, client2site, divers pings et tracerts</t>
  </si>
  <si>
    <t>Screenshots et logs de toute la partie phase 1 et retranscription au format numérique des notes manuelles.</t>
  </si>
  <si>
    <t>Branchement du pare-feu sur réseau de l'école, cablage du site principal et succursale secondaire</t>
  </si>
  <si>
    <t>Installation VMWare + windows server 2016. Attribution ip fixe selon cahier des charges. Création d'un tunnel adapté au réseau du cpnv</t>
  </si>
  <si>
    <t>Création du tunnel adapté au réseau du cpnv</t>
  </si>
  <si>
    <t>Installation FortiClient sur PC05 en salle C236, configuration.</t>
  </si>
  <si>
    <t>Pings divers entre succursale principale et site secondaire</t>
  </si>
  <si>
    <t>Pings depuis salle de classe à destination du site principal (serveur, imprimante, PC)</t>
  </si>
  <si>
    <t xml:space="preserve">Tests divers </t>
  </si>
  <si>
    <t>Remplacement du 22.05</t>
  </si>
  <si>
    <t>Absence enterrement, compensation le 31.05.2023</t>
  </si>
  <si>
    <t>Journal de travail présente un blanc pour cette journée.</t>
  </si>
  <si>
    <t>A</t>
  </si>
  <si>
    <t>analyse</t>
  </si>
  <si>
    <t>initial</t>
  </si>
  <si>
    <t>final</t>
  </si>
  <si>
    <t>implémentation 1er temps</t>
  </si>
  <si>
    <t>implémentation 2ème temps</t>
  </si>
  <si>
    <t>tests</t>
  </si>
  <si>
    <t>documentation</t>
  </si>
  <si>
    <t xml:space="preserve"> Planification initiale</t>
  </si>
  <si>
    <t>Planification finale</t>
  </si>
  <si>
    <t>Remplacement du 30.05 et rendu TPI</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</si>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</sst>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dd/mm/yy;@"/>
    <numFmt numFmtId="167" formatCode="dd\.mm\.yyyy;@"/>
    <numFmt numFmtId="168" formatCode="0.0%"/>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5">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39">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0" fontId="16" fillId="0" borderId="0" xfId="0" applyFont="1" applyAlignment="1">
      <alignment horizontal="left"/>
    </xf>
    <xf numFmtId="0" fontId="16" fillId="0" borderId="0" xfId="0" applyFont="1" applyAlignment="1">
      <alignment horizontal="center"/>
    </xf>
    <xf numFmtId="0" fontId="17" fillId="0" borderId="0" xfId="0" applyFont="1" applyAlignment="1">
      <alignment horizontal="center"/>
    </xf>
    <xf numFmtId="14" fontId="17" fillId="0" borderId="0" xfId="0" applyNumberFormat="1" applyFont="1" applyAlignment="1">
      <alignment horizontal="left"/>
    </xf>
    <xf numFmtId="0" fontId="17" fillId="0" borderId="0" xfId="0" applyFont="1"/>
    <xf numFmtId="0" fontId="17" fillId="0" borderId="0" xfId="0" applyFont="1" applyAlignment="1">
      <alignment horizontal="left"/>
    </xf>
    <xf numFmtId="14" fontId="18" fillId="0" borderId="24" xfId="0" applyNumberFormat="1" applyFont="1" applyBorder="1" applyAlignment="1" applyProtection="1">
      <alignment horizontal="center" vertical="top"/>
      <protection locked="0"/>
    </xf>
    <xf numFmtId="0" fontId="17" fillId="0" borderId="24" xfId="0" applyFont="1" applyBorder="1" applyAlignment="1">
      <alignment horizontal="center" vertical="top"/>
    </xf>
    <xf numFmtId="165"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center"/>
      <protection locked="0"/>
    </xf>
    <xf numFmtId="0" fontId="17" fillId="0" borderId="24" xfId="0" applyFont="1" applyBorder="1" applyAlignment="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13" fillId="2" borderId="0" xfId="0" applyFont="1" applyFill="1" applyAlignment="1" applyProtection="1">
      <alignment horizontal="left"/>
      <protection locked="0"/>
    </xf>
    <xf numFmtId="0" fontId="16" fillId="0" borderId="29" xfId="0" applyFont="1" applyBorder="1" applyAlignment="1">
      <alignment horizontal="center" vertical="top"/>
    </xf>
    <xf numFmtId="0" fontId="16" fillId="0" borderId="30" xfId="0" applyFont="1" applyBorder="1" applyAlignment="1">
      <alignment horizontal="center" vertical="top"/>
    </xf>
    <xf numFmtId="0" fontId="16" fillId="0" borderId="31" xfId="0" applyFont="1" applyBorder="1" applyAlignment="1">
      <alignment horizontal="left" vertical="top"/>
    </xf>
    <xf numFmtId="20" fontId="17" fillId="0" borderId="0" xfId="0" applyNumberFormat="1" applyFont="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17" fillId="11" borderId="24" xfId="0" applyFont="1" applyFill="1" applyBorder="1" applyAlignment="1">
      <alignment horizontal="center"/>
    </xf>
    <xf numFmtId="165" fontId="18" fillId="11" borderId="24" xfId="0" applyNumberFormat="1" applyFont="1" applyFill="1" applyBorder="1" applyAlignment="1" applyProtection="1">
      <alignment horizontal="center"/>
      <protection locked="0"/>
    </xf>
    <xf numFmtId="0" fontId="3" fillId="0" borderId="0" xfId="0" applyFont="1" applyAlignment="1">
      <alignment horizontal="center" vertical="center"/>
    </xf>
    <xf numFmtId="168" fontId="3" fillId="0" borderId="0" xfId="0" applyNumberFormat="1" applyFont="1" applyAlignment="1">
      <alignment horizontal="center" vertical="center"/>
    </xf>
    <xf numFmtId="0" fontId="0" fillId="11" borderId="0" xfId="0" applyFill="1" applyAlignment="1">
      <alignment horizontal="center"/>
    </xf>
    <xf numFmtId="0" fontId="17" fillId="0" borderId="24" xfId="0" applyFont="1" applyBorder="1" applyAlignment="1" applyProtection="1">
      <alignment horizontal="left" vertical="top"/>
      <protection locked="0"/>
    </xf>
    <xf numFmtId="0" fontId="17" fillId="0" borderId="24" xfId="0" applyFont="1" applyBorder="1" applyAlignment="1" applyProtection="1">
      <alignment horizontal="left"/>
      <protection locked="0"/>
    </xf>
    <xf numFmtId="0" fontId="17" fillId="11" borderId="24" xfId="0" applyFont="1" applyFill="1" applyBorder="1" applyAlignment="1" applyProtection="1">
      <alignment horizontal="left"/>
      <protection locked="0"/>
    </xf>
    <xf numFmtId="14" fontId="18" fillId="0" borderId="20" xfId="0" applyNumberFormat="1" applyFont="1" applyBorder="1" applyAlignment="1" applyProtection="1">
      <alignment horizontal="center"/>
      <protection locked="0"/>
    </xf>
    <xf numFmtId="0" fontId="17" fillId="0" borderId="20" xfId="0" applyFont="1" applyBorder="1" applyAlignment="1">
      <alignment horizontal="center"/>
    </xf>
    <xf numFmtId="0" fontId="17" fillId="0" borderId="20" xfId="0" applyFont="1" applyBorder="1" applyAlignment="1" applyProtection="1">
      <alignment horizontal="center"/>
      <protection locked="0"/>
    </xf>
    <xf numFmtId="165" fontId="18" fillId="0" borderId="20" xfId="0" applyNumberFormat="1" applyFont="1" applyBorder="1" applyAlignment="1" applyProtection="1">
      <alignment horizontal="center"/>
      <protection locked="0"/>
    </xf>
    <xf numFmtId="0" fontId="18" fillId="0" borderId="20" xfId="0" applyFont="1" applyBorder="1" applyAlignment="1" applyProtection="1">
      <alignment horizontal="left" wrapText="1"/>
      <protection locked="0"/>
    </xf>
    <xf numFmtId="0" fontId="17" fillId="2" borderId="1" xfId="0" applyFont="1" applyFill="1" applyBorder="1"/>
    <xf numFmtId="0" fontId="17" fillId="2" borderId="0" xfId="0" applyFont="1" applyFill="1" applyBorder="1"/>
    <xf numFmtId="0" fontId="17" fillId="2" borderId="13" xfId="0" applyFont="1" applyFill="1" applyBorder="1"/>
    <xf numFmtId="167" fontId="18" fillId="0" borderId="32" xfId="0" applyNumberFormat="1" applyFont="1" applyBorder="1" applyAlignment="1" applyProtection="1">
      <alignment horizontal="center"/>
      <protection locked="0"/>
    </xf>
    <xf numFmtId="0" fontId="18" fillId="0" borderId="33" xfId="0" applyFont="1" applyBorder="1" applyAlignment="1" applyProtection="1">
      <alignment horizontal="left" vertical="top" wrapText="1"/>
      <protection locked="0"/>
    </xf>
    <xf numFmtId="0" fontId="18" fillId="0" borderId="33" xfId="0" applyFont="1" applyBorder="1" applyAlignment="1" applyProtection="1">
      <alignment horizontal="left" wrapText="1"/>
      <protection locked="0"/>
    </xf>
    <xf numFmtId="167" fontId="18" fillId="11" borderId="32" xfId="0" applyNumberFormat="1" applyFont="1" applyFill="1" applyBorder="1" applyAlignment="1" applyProtection="1">
      <alignment horizontal="center"/>
      <protection locked="0"/>
    </xf>
    <xf numFmtId="0" fontId="18" fillId="11" borderId="33" xfId="0" applyFont="1" applyFill="1" applyBorder="1" applyAlignment="1" applyProtection="1">
      <alignment horizontal="left" wrapText="1"/>
      <protection locked="0"/>
    </xf>
    <xf numFmtId="167" fontId="18" fillId="0" borderId="16" xfId="0" applyNumberFormat="1" applyFont="1" applyBorder="1" applyAlignment="1" applyProtection="1">
      <alignment horizontal="center"/>
      <protection locked="0"/>
    </xf>
    <xf numFmtId="0" fontId="17" fillId="0" borderId="34" xfId="0" applyFont="1" applyBorder="1" applyAlignment="1">
      <alignment horizontal="center"/>
    </xf>
    <xf numFmtId="0" fontId="17" fillId="0" borderId="34" xfId="0" applyFont="1" applyBorder="1" applyAlignment="1" applyProtection="1">
      <alignment horizontal="left"/>
      <protection locked="0"/>
    </xf>
    <xf numFmtId="165" fontId="18" fillId="0" borderId="34" xfId="0" applyNumberFormat="1" applyFont="1" applyBorder="1" applyAlignment="1" applyProtection="1">
      <alignment horizontal="center"/>
      <protection locked="0"/>
    </xf>
    <xf numFmtId="0" fontId="18" fillId="0" borderId="17" xfId="0" applyFont="1" applyBorder="1" applyAlignment="1" applyProtection="1">
      <alignment horizontal="left" wrapText="1"/>
      <protection locked="0"/>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pieChart>
        <c:varyColors val="1"/>
        <c:ser>
          <c:idx val="0"/>
          <c:order val="0"/>
          <c:tx>
            <c:strRef>
              <c:f>Planning!$AC$5</c:f>
              <c:strCache>
                <c:ptCount val="1"/>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5C0-47E8-8FB8-F1AA829B7AD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5C0-47E8-8FB8-F1AA829B7AD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5C0-47E8-8FB8-F1AA829B7AD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C5C0-47E8-8FB8-F1AA829B7AD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5C0-47E8-8FB8-F1AA829B7A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Planning!$X$6:$X$10</c:f>
              <c:numCache>
                <c:formatCode>[h]" h "mm</c:formatCode>
                <c:ptCount val="5"/>
              </c:numCache>
            </c:numRef>
          </c:cat>
          <c:val>
            <c:numRef>
              <c:f>Planning!$AC$6:$AC$10</c:f>
              <c:numCache>
                <c:formatCode>0.0%</c:formatCode>
                <c:ptCount val="5"/>
              </c:numCache>
            </c:numRef>
          </c:val>
          <c:extLst>
            <c:ext xmlns:c16="http://schemas.microsoft.com/office/drawing/2014/chart" uri="{C3380CC4-5D6E-409C-BE32-E72D297353CC}">
              <c16:uniqueId val="{0000000A-C5C0-47E8-8FB8-F1AA829B7AD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pieChart>
        <c:varyColors val="1"/>
        <c:ser>
          <c:idx val="0"/>
          <c:order val="0"/>
          <c:tx>
            <c:strRef>
              <c:f>Planning!$AD$5</c:f>
              <c:strCache>
                <c:ptCount val="1"/>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7A9-4228-B82C-6B4B4629EA52}"/>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7A9-4228-B82C-6B4B4629EA52}"/>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7A9-4228-B82C-6B4B4629EA52}"/>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7A9-4228-B82C-6B4B4629EA52}"/>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67A9-4228-B82C-6B4B4629EA52}"/>
              </c:ext>
            </c:extLst>
          </c:dPt>
          <c:dLbls>
            <c:dLbl>
              <c:idx val="0"/>
              <c:tx>
                <c:rich>
                  <a:bodyPr/>
                  <a:lstStyle/>
                  <a:p>
                    <a:fld id="{315782D4-B79A-442E-B029-2E1B5C32FBAA}"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7A9-4228-B82C-6B4B4629EA52}"/>
                </c:ext>
              </c:extLst>
            </c:dLbl>
            <c:dLbl>
              <c:idx val="1"/>
              <c:tx>
                <c:rich>
                  <a:bodyPr/>
                  <a:lstStyle/>
                  <a:p>
                    <a:fld id="{8D8E5537-6AE2-445B-B2E2-445CAC5151D1}"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7A9-4228-B82C-6B4B4629EA52}"/>
                </c:ext>
              </c:extLst>
            </c:dLbl>
            <c:dLbl>
              <c:idx val="2"/>
              <c:tx>
                <c:rich>
                  <a:bodyPr/>
                  <a:lstStyle/>
                  <a:p>
                    <a:fld id="{B59F43A0-5AA6-43C4-A881-7668A9E4E1ED}"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7A9-4228-B82C-6B4B4629EA52}"/>
                </c:ext>
              </c:extLst>
            </c:dLbl>
            <c:dLbl>
              <c:idx val="3"/>
              <c:tx>
                <c:rich>
                  <a:bodyPr/>
                  <a:lstStyle/>
                  <a:p>
                    <a:fld id="{A18760AF-60B4-4124-A186-3371B355530D}"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67A9-4228-B82C-6B4B4629EA52}"/>
                </c:ext>
              </c:extLst>
            </c:dLbl>
            <c:dLbl>
              <c:idx val="4"/>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7A9-4228-B82C-6B4B4629EA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inEnd"/>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Planning!$X$6:$X$10</c:f>
              <c:numCache>
                <c:formatCode>[h]" h "mm</c:formatCode>
                <c:ptCount val="5"/>
              </c:numCache>
            </c:numRef>
          </c:cat>
          <c:val>
            <c:numRef>
              <c:f>Planning!$AD$6:$AD$10</c:f>
              <c:numCache>
                <c:formatCode>0.0%</c:formatCode>
                <c:ptCount val="5"/>
              </c:numCache>
            </c:numRef>
          </c:val>
          <c:extLst>
            <c:ext xmlns:c16="http://schemas.microsoft.com/office/drawing/2014/chart" uri="{C3380CC4-5D6E-409C-BE32-E72D297353CC}">
              <c16:uniqueId val="{0000000A-67A9-4228-B82C-6B4B4629EA5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36</xdr:row>
      <xdr:rowOff>1359</xdr:rowOff>
    </xdr:from>
    <xdr:to>
      <xdr:col>8</xdr:col>
      <xdr:colOff>639535</xdr:colOff>
      <xdr:row>53</xdr:row>
      <xdr:rowOff>25852</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681718</xdr:colOff>
      <xdr:row>36</xdr:row>
      <xdr:rowOff>0</xdr:rowOff>
    </xdr:from>
    <xdr:to>
      <xdr:col>15</xdr:col>
      <xdr:colOff>393247</xdr:colOff>
      <xdr:row>53</xdr:row>
      <xdr:rowOff>6804</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bestFit="1" customWidth="1"/>
    <col min="2" max="2" width="14.140625" customWidth="1"/>
    <col min="3" max="3" width="16.5703125" customWidth="1"/>
    <col min="4" max="4" width="17.28515625" customWidth="1"/>
    <col min="5" max="5" width="3.85546875" customWidth="1"/>
    <col min="6" max="6" width="28.7109375" bestFit="1" customWidth="1"/>
    <col min="7" max="7" width="60.7109375" bestFit="1" customWidth="1"/>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6" t="s">
        <v>12</v>
      </c>
      <c r="B3" s="16" t="s">
        <v>15</v>
      </c>
      <c r="C3" s="16" t="s">
        <v>7</v>
      </c>
      <c r="D3" s="16" t="s">
        <v>11</v>
      </c>
      <c r="E3" s="16"/>
      <c r="F3" s="16" t="s">
        <v>13</v>
      </c>
      <c r="G3" s="16" t="s">
        <v>9</v>
      </c>
      <c r="H3" s="15"/>
    </row>
    <row r="4" spans="1:8" x14ac:dyDescent="0.25">
      <c r="A4" s="18" t="s">
        <v>23</v>
      </c>
      <c r="B4" s="21">
        <v>45048</v>
      </c>
      <c r="C4" s="22"/>
      <c r="D4" s="23"/>
      <c r="E4" s="15"/>
      <c r="F4" s="18" t="s">
        <v>16</v>
      </c>
      <c r="G4" s="24" t="s">
        <v>25</v>
      </c>
      <c r="H4" s="15"/>
    </row>
    <row r="5" spans="1:8" x14ac:dyDescent="0.25">
      <c r="A5" s="19"/>
      <c r="B5" s="15"/>
      <c r="C5" s="22" t="s">
        <v>19</v>
      </c>
      <c r="D5" s="23" t="s">
        <v>20</v>
      </c>
      <c r="E5" s="15"/>
      <c r="F5" s="13"/>
      <c r="G5" s="25" t="s">
        <v>26</v>
      </c>
      <c r="H5" s="15"/>
    </row>
    <row r="6" spans="1:8" x14ac:dyDescent="0.25">
      <c r="A6" s="20"/>
      <c r="B6" s="15"/>
      <c r="C6" s="15"/>
      <c r="D6" s="15"/>
      <c r="E6" s="15"/>
      <c r="F6" s="13"/>
      <c r="G6" s="25" t="s">
        <v>27</v>
      </c>
      <c r="H6" s="15"/>
    </row>
    <row r="7" spans="1:8" x14ac:dyDescent="0.25">
      <c r="A7" s="15"/>
      <c r="B7" s="15"/>
      <c r="C7" s="15"/>
      <c r="D7" s="15"/>
      <c r="E7" s="15"/>
      <c r="F7" s="13"/>
      <c r="G7" s="25" t="s">
        <v>28</v>
      </c>
      <c r="H7" s="15"/>
    </row>
    <row r="8" spans="1:8" x14ac:dyDescent="0.25">
      <c r="A8" s="15"/>
      <c r="B8" s="15"/>
      <c r="C8" s="15"/>
      <c r="D8" s="15"/>
      <c r="E8" s="15"/>
      <c r="F8" s="13"/>
      <c r="G8" s="25" t="s">
        <v>29</v>
      </c>
      <c r="H8" s="15"/>
    </row>
    <row r="9" spans="1:8" x14ac:dyDescent="0.25">
      <c r="A9" s="15"/>
      <c r="B9" s="15"/>
      <c r="C9" s="15"/>
      <c r="D9" s="15"/>
      <c r="E9" s="15"/>
      <c r="F9" s="18" t="s">
        <v>21</v>
      </c>
      <c r="G9" s="24" t="s">
        <v>34</v>
      </c>
      <c r="H9" s="15"/>
    </row>
    <row r="10" spans="1:8" x14ac:dyDescent="0.25">
      <c r="A10" s="15"/>
      <c r="B10" s="15"/>
      <c r="C10" s="15"/>
      <c r="D10" s="15"/>
      <c r="E10" s="15"/>
      <c r="F10" s="13"/>
      <c r="G10" s="25" t="s">
        <v>36</v>
      </c>
      <c r="H10" s="15"/>
    </row>
    <row r="11" spans="1:8" x14ac:dyDescent="0.25">
      <c r="A11" s="15"/>
      <c r="B11" s="15"/>
      <c r="C11" s="15"/>
      <c r="D11" s="15"/>
      <c r="E11" s="15"/>
      <c r="F11" s="13"/>
      <c r="G11" s="25" t="s">
        <v>33</v>
      </c>
      <c r="H11" s="15"/>
    </row>
    <row r="12" spans="1:8" x14ac:dyDescent="0.25">
      <c r="A12" s="15"/>
      <c r="B12" s="15"/>
      <c r="C12" s="15"/>
      <c r="D12" s="15"/>
      <c r="E12" s="15"/>
      <c r="F12" s="13"/>
      <c r="G12" s="25" t="s">
        <v>35</v>
      </c>
      <c r="H12" s="15"/>
    </row>
    <row r="13" spans="1:8" x14ac:dyDescent="0.25">
      <c r="A13" s="15"/>
      <c r="B13" s="15"/>
      <c r="C13" s="15"/>
      <c r="D13" s="15"/>
      <c r="E13" s="15"/>
      <c r="F13" s="13"/>
      <c r="G13" s="25" t="s">
        <v>53</v>
      </c>
      <c r="H13" s="15"/>
    </row>
    <row r="14" spans="1:8" x14ac:dyDescent="0.25">
      <c r="A14" s="15"/>
      <c r="B14" s="15"/>
      <c r="C14" s="15"/>
      <c r="D14" s="15"/>
      <c r="E14" s="15"/>
      <c r="F14" s="13"/>
      <c r="G14" s="25" t="s">
        <v>54</v>
      </c>
      <c r="H14" s="15"/>
    </row>
    <row r="15" spans="1:8" x14ac:dyDescent="0.25">
      <c r="A15" s="15"/>
      <c r="B15" s="15"/>
      <c r="C15" s="15"/>
      <c r="D15" s="15"/>
      <c r="E15" s="15"/>
      <c r="F15" s="13"/>
      <c r="G15" s="25" t="s">
        <v>55</v>
      </c>
      <c r="H15" s="15"/>
    </row>
    <row r="16" spans="1:8" x14ac:dyDescent="0.25">
      <c r="A16" s="15"/>
      <c r="B16" s="15"/>
      <c r="C16" s="15"/>
      <c r="D16" s="15"/>
      <c r="E16" s="15"/>
      <c r="F16" s="13"/>
      <c r="G16" s="25" t="s">
        <v>56</v>
      </c>
      <c r="H16" s="15"/>
    </row>
    <row r="17" spans="1:8" x14ac:dyDescent="0.25">
      <c r="A17" s="15"/>
      <c r="B17" s="15"/>
      <c r="C17" s="15"/>
      <c r="D17" s="15"/>
      <c r="E17" s="15"/>
      <c r="F17" s="13"/>
      <c r="G17" s="25" t="s">
        <v>38</v>
      </c>
      <c r="H17" s="15"/>
    </row>
    <row r="18" spans="1:8" x14ac:dyDescent="0.25">
      <c r="A18" s="15"/>
      <c r="B18" s="15"/>
      <c r="C18" s="15"/>
      <c r="D18" s="15"/>
      <c r="E18" s="15"/>
      <c r="F18" s="13"/>
      <c r="G18" s="99" t="s">
        <v>37</v>
      </c>
      <c r="H18" s="15"/>
    </row>
    <row r="19" spans="1:8" x14ac:dyDescent="0.25">
      <c r="A19" s="15"/>
      <c r="B19" s="15"/>
      <c r="C19" s="15"/>
      <c r="D19" s="15"/>
      <c r="E19" s="15"/>
      <c r="F19" s="13"/>
      <c r="G19" s="25" t="s">
        <v>39</v>
      </c>
      <c r="H19" s="15"/>
    </row>
    <row r="20" spans="1:8" x14ac:dyDescent="0.25">
      <c r="A20" s="15"/>
      <c r="B20" s="15"/>
      <c r="C20" s="15"/>
      <c r="D20" s="15"/>
      <c r="E20" s="15"/>
      <c r="F20" s="14"/>
      <c r="G20" s="25" t="s">
        <v>40</v>
      </c>
      <c r="H20" s="15"/>
    </row>
    <row r="21" spans="1:8" x14ac:dyDescent="0.25">
      <c r="A21" s="15"/>
      <c r="B21" s="15"/>
      <c r="C21" s="15"/>
      <c r="D21" s="15"/>
      <c r="E21" s="15"/>
      <c r="F21" s="18" t="s">
        <v>22</v>
      </c>
      <c r="G21" s="24" t="s">
        <v>50</v>
      </c>
      <c r="H21" s="15"/>
    </row>
    <row r="22" spans="1:8" x14ac:dyDescent="0.25">
      <c r="A22" s="15"/>
      <c r="B22" s="15"/>
      <c r="C22" s="15"/>
      <c r="D22" s="15"/>
      <c r="E22" s="15"/>
      <c r="F22" s="13"/>
      <c r="G22" s="25" t="s">
        <v>57</v>
      </c>
      <c r="H22" s="15"/>
    </row>
    <row r="23" spans="1:8" x14ac:dyDescent="0.25">
      <c r="A23" s="15"/>
      <c r="B23" s="15"/>
      <c r="C23" s="15"/>
      <c r="D23" s="15"/>
      <c r="E23" s="15"/>
      <c r="F23" s="13"/>
      <c r="G23" s="25" t="s">
        <v>51</v>
      </c>
      <c r="H23" s="15"/>
    </row>
    <row r="24" spans="1:8" x14ac:dyDescent="0.25">
      <c r="A24" s="15"/>
      <c r="B24" s="15"/>
      <c r="C24" s="15"/>
      <c r="D24" s="15"/>
      <c r="E24" s="15"/>
      <c r="F24" s="13"/>
      <c r="G24" s="25" t="s">
        <v>52</v>
      </c>
      <c r="H24" s="15"/>
    </row>
    <row r="25" spans="1:8" x14ac:dyDescent="0.25">
      <c r="A25" s="15"/>
      <c r="B25" s="15"/>
      <c r="C25" s="15"/>
      <c r="D25" s="15"/>
      <c r="E25" s="15"/>
      <c r="F25" s="13"/>
      <c r="G25" s="25" t="s">
        <v>49</v>
      </c>
      <c r="H25" s="15"/>
    </row>
    <row r="26" spans="1:8" x14ac:dyDescent="0.25">
      <c r="A26" s="15"/>
      <c r="B26" s="15"/>
      <c r="C26" s="15"/>
      <c r="D26" s="15"/>
      <c r="E26" s="15"/>
      <c r="F26" s="13"/>
      <c r="G26" s="25" t="s">
        <v>58</v>
      </c>
      <c r="H26" s="15"/>
    </row>
    <row r="27" spans="1:8" x14ac:dyDescent="0.25">
      <c r="A27" s="15"/>
      <c r="B27" s="15"/>
      <c r="C27" s="15"/>
      <c r="D27" s="15"/>
      <c r="E27" s="15"/>
      <c r="F27" s="13"/>
      <c r="G27" s="25" t="s">
        <v>61</v>
      </c>
      <c r="H27" s="15"/>
    </row>
    <row r="28" spans="1:8" x14ac:dyDescent="0.25">
      <c r="A28" s="15"/>
      <c r="B28" s="15"/>
      <c r="C28" s="15"/>
      <c r="D28" s="15"/>
      <c r="E28" s="15"/>
      <c r="F28" s="18" t="s">
        <v>17</v>
      </c>
      <c r="G28" s="24" t="s">
        <v>42</v>
      </c>
      <c r="H28" s="15"/>
    </row>
    <row r="29" spans="1:8" x14ac:dyDescent="0.25">
      <c r="A29" s="15"/>
      <c r="B29" s="15"/>
      <c r="C29" s="15"/>
      <c r="D29" s="15"/>
      <c r="E29" s="15"/>
      <c r="F29" s="13"/>
      <c r="G29" s="25" t="s">
        <v>43</v>
      </c>
      <c r="H29" s="15"/>
    </row>
    <row r="30" spans="1:8" x14ac:dyDescent="0.25">
      <c r="A30" s="15"/>
      <c r="B30" s="15"/>
      <c r="C30" s="15"/>
      <c r="D30" s="15"/>
      <c r="E30" s="15"/>
      <c r="F30" s="13"/>
      <c r="G30" s="25" t="s">
        <v>59</v>
      </c>
      <c r="H30" s="15"/>
    </row>
    <row r="31" spans="1:8" x14ac:dyDescent="0.25">
      <c r="A31" s="15"/>
      <c r="B31" s="15"/>
      <c r="C31" s="15"/>
      <c r="D31" s="15"/>
      <c r="E31" s="15"/>
      <c r="F31" s="13"/>
      <c r="G31" s="25" t="s">
        <v>60</v>
      </c>
      <c r="H31" s="15"/>
    </row>
    <row r="32" spans="1:8" x14ac:dyDescent="0.25">
      <c r="A32" s="15"/>
      <c r="B32" s="15"/>
      <c r="C32" s="15"/>
      <c r="D32" s="15"/>
      <c r="E32" s="15"/>
      <c r="F32" s="13"/>
      <c r="G32" s="25" t="s">
        <v>44</v>
      </c>
      <c r="H32" s="15"/>
    </row>
    <row r="33" spans="1:8" x14ac:dyDescent="0.25">
      <c r="A33" s="15"/>
      <c r="B33" s="15"/>
      <c r="C33" s="15"/>
      <c r="D33" s="15"/>
      <c r="E33" s="15"/>
      <c r="F33" s="13"/>
      <c r="G33" s="25" t="s">
        <v>45</v>
      </c>
      <c r="H33" s="15"/>
    </row>
    <row r="34" spans="1:8" x14ac:dyDescent="0.25">
      <c r="A34" s="15"/>
      <c r="B34" s="15"/>
      <c r="C34" s="15"/>
      <c r="D34" s="15"/>
      <c r="E34" s="15"/>
      <c r="F34" s="13"/>
      <c r="G34" s="25" t="s">
        <v>46</v>
      </c>
      <c r="H34" s="15"/>
    </row>
    <row r="35" spans="1:8" x14ac:dyDescent="0.25">
      <c r="A35" s="15"/>
      <c r="B35" s="15"/>
      <c r="C35" s="15"/>
      <c r="D35" s="15"/>
      <c r="E35" s="15"/>
      <c r="F35" s="13"/>
      <c r="G35" s="25" t="s">
        <v>47</v>
      </c>
      <c r="H35" s="15"/>
    </row>
    <row r="36" spans="1:8" x14ac:dyDescent="0.25">
      <c r="A36" s="15"/>
      <c r="B36" s="15"/>
      <c r="C36" s="15"/>
      <c r="D36" s="15"/>
      <c r="E36" s="15"/>
      <c r="F36" s="13"/>
      <c r="G36" s="25" t="s">
        <v>48</v>
      </c>
      <c r="H36" s="15"/>
    </row>
    <row r="37" spans="1:8" x14ac:dyDescent="0.25">
      <c r="A37" s="15"/>
      <c r="B37" s="15"/>
      <c r="C37" s="15"/>
      <c r="D37" s="15"/>
      <c r="E37" s="15"/>
      <c r="F37" s="13"/>
      <c r="G37" s="25" t="s">
        <v>62</v>
      </c>
      <c r="H37" s="15"/>
    </row>
    <row r="38" spans="1:8" x14ac:dyDescent="0.25">
      <c r="A38" s="15"/>
      <c r="B38" s="15"/>
      <c r="C38" s="15"/>
      <c r="D38" s="15"/>
      <c r="E38" s="15"/>
      <c r="F38" s="13"/>
      <c r="G38" s="25" t="s">
        <v>63</v>
      </c>
      <c r="H38" s="15"/>
    </row>
    <row r="39" spans="1:8" x14ac:dyDescent="0.25">
      <c r="A39" s="15"/>
      <c r="B39" s="15"/>
      <c r="C39" s="15"/>
      <c r="D39" s="15"/>
      <c r="E39" s="15"/>
      <c r="F39" s="13"/>
      <c r="G39" s="25" t="s">
        <v>64</v>
      </c>
      <c r="H39" s="15"/>
    </row>
    <row r="40" spans="1:8" x14ac:dyDescent="0.25">
      <c r="A40" s="15"/>
      <c r="B40" s="15"/>
      <c r="C40" s="15"/>
      <c r="D40" s="15"/>
      <c r="E40" s="15"/>
      <c r="F40" s="13"/>
      <c r="G40" s="25" t="s">
        <v>65</v>
      </c>
      <c r="H40" s="15"/>
    </row>
    <row r="41" spans="1:8" x14ac:dyDescent="0.25">
      <c r="A41" s="15"/>
      <c r="B41" s="15"/>
      <c r="C41" s="15"/>
      <c r="D41" s="15"/>
      <c r="E41" s="15"/>
      <c r="F41" s="13"/>
      <c r="G41" s="25" t="s">
        <v>66</v>
      </c>
      <c r="H41" s="15"/>
    </row>
    <row r="42" spans="1:8" x14ac:dyDescent="0.25">
      <c r="A42" s="15"/>
      <c r="B42" s="15"/>
      <c r="C42" s="15"/>
      <c r="D42" s="15"/>
      <c r="E42" s="15"/>
      <c r="F42" s="18" t="s">
        <v>24</v>
      </c>
      <c r="G42" s="18" t="s">
        <v>30</v>
      </c>
      <c r="H42" s="15"/>
    </row>
    <row r="43" spans="1:8" x14ac:dyDescent="0.25">
      <c r="A43" s="15"/>
      <c r="B43" s="15"/>
      <c r="C43" s="15"/>
      <c r="D43" s="15"/>
      <c r="E43" s="15"/>
      <c r="F43" s="13"/>
      <c r="G43" s="19" t="s">
        <v>31</v>
      </c>
      <c r="H43" s="15"/>
    </row>
    <row r="44" spans="1:8" x14ac:dyDescent="0.25">
      <c r="A44" s="15"/>
      <c r="B44" s="15"/>
      <c r="C44" s="15"/>
      <c r="D44" s="15"/>
      <c r="E44" s="15"/>
      <c r="F44" s="13"/>
      <c r="G44" s="19" t="s">
        <v>32</v>
      </c>
      <c r="H44" s="15"/>
    </row>
    <row r="45" spans="1:8" x14ac:dyDescent="0.25">
      <c r="A45" s="15"/>
      <c r="B45" s="15"/>
      <c r="C45" s="15"/>
      <c r="D45" s="15"/>
      <c r="E45" s="15"/>
      <c r="F45" s="13"/>
      <c r="G45" s="25" t="s">
        <v>41</v>
      </c>
      <c r="H45" s="15"/>
    </row>
    <row r="46" spans="1:8" x14ac:dyDescent="0.25">
      <c r="A46" s="15"/>
      <c r="B46" s="15"/>
      <c r="C46" s="15"/>
      <c r="D46" s="15"/>
      <c r="E46" s="15"/>
      <c r="F46" s="13"/>
      <c r="G46" s="25" t="s">
        <v>70</v>
      </c>
      <c r="H46" s="15"/>
    </row>
    <row r="47" spans="1:8" x14ac:dyDescent="0.25">
      <c r="A47" s="15"/>
      <c r="B47" s="15"/>
      <c r="C47" s="15"/>
      <c r="D47" s="15"/>
      <c r="E47" s="15"/>
      <c r="F47" s="14"/>
      <c r="G47" s="100" t="s">
        <v>67</v>
      </c>
      <c r="H47" s="15"/>
    </row>
    <row r="48" spans="1:8" x14ac:dyDescent="0.25">
      <c r="A48" s="15"/>
      <c r="B48" s="15"/>
      <c r="C48" s="15"/>
      <c r="D48" s="15"/>
      <c r="E48" s="15"/>
      <c r="F48" s="15"/>
      <c r="G48" s="101"/>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B1:AD101"/>
  <sheetViews>
    <sheetView showZeros="0" zoomScale="70" zoomScaleNormal="70" zoomScalePageLayoutView="70" workbookViewId="0">
      <selection activeCell="Y48" sqref="Y48"/>
    </sheetView>
  </sheetViews>
  <sheetFormatPr baseColWidth="10" defaultRowHeight="16.5" x14ac:dyDescent="0.25"/>
  <cols>
    <col min="1" max="1" width="11.42578125" style="30"/>
    <col min="2" max="2" width="35.7109375" style="30" bestFit="1" customWidth="1"/>
    <col min="3" max="3" width="61.140625" style="30" bestFit="1" customWidth="1"/>
    <col min="4" max="4" width="14.85546875" style="30" bestFit="1" customWidth="1"/>
    <col min="5" max="5" width="8.28515625" style="30" customWidth="1"/>
    <col min="6" max="6" width="1.42578125" style="30" customWidth="1"/>
    <col min="7" max="7" width="8" style="30" bestFit="1" customWidth="1"/>
    <col min="8" max="8" width="1.42578125" style="30" customWidth="1"/>
    <col min="9" max="9" width="7.85546875" style="30" customWidth="1"/>
    <col min="10" max="10" width="1.42578125" style="30" customWidth="1"/>
    <col min="11" max="11" width="8" style="30" customWidth="1"/>
    <col min="12" max="12" width="1.42578125" style="30" customWidth="1"/>
    <col min="13" max="13" width="7.85546875" style="30" bestFit="1" customWidth="1"/>
    <col min="14" max="14" width="1.42578125" style="30" customWidth="1"/>
    <col min="15" max="15" width="8.28515625" style="30" bestFit="1" customWidth="1"/>
    <col min="16" max="16" width="1.42578125" style="30" customWidth="1"/>
    <col min="17" max="17" width="8.28515625" style="30" bestFit="1" customWidth="1"/>
    <col min="18" max="18" width="1.42578125" style="30" customWidth="1"/>
    <col min="19" max="23" width="11.42578125" style="30"/>
    <col min="24" max="24" width="30.85546875" style="30" bestFit="1" customWidth="1"/>
    <col min="25" max="16384" width="11.42578125" style="30"/>
  </cols>
  <sheetData>
    <row r="1" spans="2:30" ht="26.25" x14ac:dyDescent="0.25">
      <c r="B1" s="26" t="s">
        <v>12</v>
      </c>
      <c r="C1" s="27">
        <f>Base!A6</f>
        <v>0</v>
      </c>
      <c r="D1" s="28"/>
      <c r="E1" s="83" t="s">
        <v>18</v>
      </c>
      <c r="F1" s="29"/>
      <c r="G1" s="29"/>
      <c r="H1" s="29"/>
      <c r="I1" s="29"/>
      <c r="J1" s="29"/>
      <c r="K1" s="29"/>
      <c r="L1" s="29"/>
      <c r="M1" s="29"/>
      <c r="N1" s="29"/>
      <c r="O1" s="29"/>
      <c r="P1" s="29"/>
      <c r="Q1" s="29"/>
      <c r="R1" s="29"/>
    </row>
    <row r="2" spans="2:30" s="37" customFormat="1" ht="72.75" thickBot="1" x14ac:dyDescent="0.35">
      <c r="B2" s="31" t="str">
        <f>CONCATENATE(Base!A4,IF(ISBLANK(Base!A5),, "-"),Base!A5,IF(ISBLANK(Base!A6),, "-"),Base!A6)</f>
        <v>Mise en place de firewalls virtuels sur une Appliance Fortinet, adaptée au module 146</v>
      </c>
      <c r="C2" s="32" t="s">
        <v>0</v>
      </c>
      <c r="D2" s="33"/>
      <c r="E2" s="34">
        <f>Base!B4</f>
        <v>45048</v>
      </c>
      <c r="F2" s="35"/>
      <c r="G2" s="34">
        <f>E2+6</f>
        <v>45054</v>
      </c>
      <c r="H2" s="36"/>
      <c r="I2" s="34">
        <f>G2+7</f>
        <v>45061</v>
      </c>
      <c r="J2" s="36"/>
      <c r="K2" s="34">
        <f>I2+7</f>
        <v>45068</v>
      </c>
      <c r="L2" s="36"/>
      <c r="M2" s="34">
        <f>K2+7</f>
        <v>45075</v>
      </c>
      <c r="N2" s="36"/>
      <c r="O2" s="34">
        <f>M2+7</f>
        <v>45082</v>
      </c>
      <c r="P2" s="36"/>
      <c r="Q2" s="34">
        <f>O2+7</f>
        <v>45089</v>
      </c>
      <c r="R2" s="98"/>
    </row>
    <row r="3" spans="2:30" ht="18.75" customHeight="1" thickBot="1" x14ac:dyDescent="0.3">
      <c r="B3" s="38" t="s">
        <v>6</v>
      </c>
      <c r="C3" s="39">
        <f>SUM(E3:R3)</f>
        <v>3.7534722222222228</v>
      </c>
      <c r="E3" s="1">
        <f>SUMIF($D$8:$D$10002,$D8,E$8:E$10002)</f>
        <v>0.76388888888888884</v>
      </c>
      <c r="F3" s="2"/>
      <c r="G3" s="1">
        <f>SUMIF($D$8:$D$10002,$D8,G$8:G$10002)</f>
        <v>0.9965277777777779</v>
      </c>
      <c r="H3" s="3"/>
      <c r="I3" s="1">
        <f>SUMIF($D$8:$D$10002,$D8,I$8:I$10002)</f>
        <v>0.69791666666666674</v>
      </c>
      <c r="J3" s="3"/>
      <c r="K3" s="1">
        <f>SUMIF($D$8:$D$10002,$D8,K$8:K$10002)</f>
        <v>0.9965277777777779</v>
      </c>
      <c r="L3" s="3"/>
      <c r="M3" s="1">
        <f>SUMIF($D$8:$D$10002,$D8,M$8:M$10002)</f>
        <v>0.2986111111111111</v>
      </c>
      <c r="N3" s="3"/>
      <c r="O3" s="1">
        <f>SUMIF($D$8:$D$10002,$D8,O$8:O$10002)</f>
        <v>0</v>
      </c>
      <c r="P3" s="3"/>
      <c r="Q3" s="4">
        <f>SUMIF($D$8:$D$10002,$D8,Q$8:Q$10002)</f>
        <v>0</v>
      </c>
      <c r="R3" s="3"/>
    </row>
    <row r="4" spans="2:30" ht="18" customHeight="1" thickBot="1" x14ac:dyDescent="0.3">
      <c r="B4" s="40" t="str">
        <f>Base!C5</f>
        <v>Mayor</v>
      </c>
      <c r="C4" s="41">
        <f>SUM(E4:R4)</f>
        <v>3.6631944444444442</v>
      </c>
      <c r="E4" s="4">
        <f>SUMIF($D$8:$D$10002,$D9,E$8:E$10002)</f>
        <v>0.68402777777777779</v>
      </c>
      <c r="F4" s="2"/>
      <c r="G4" s="4">
        <f>SUMIF($D$8:$D$10002,$D9,G$8:G$10002)</f>
        <v>0.99305555555555558</v>
      </c>
      <c r="H4" s="3"/>
      <c r="I4" s="4">
        <f>SUMIF($D$8:$D$10002,$D9,I$8:I$10002)</f>
        <v>0.69791666666666663</v>
      </c>
      <c r="J4" s="3"/>
      <c r="K4" s="4">
        <f>SUMIF($D$8:$D$10002,$D9,K$8:K$10002)</f>
        <v>0.98958333333333326</v>
      </c>
      <c r="L4" s="3"/>
      <c r="M4" s="4">
        <f>SUMIF($D$8:$D$10002,$D9,M$8:M$10002)</f>
        <v>0.2986111111111111</v>
      </c>
      <c r="N4" s="3"/>
      <c r="O4" s="4">
        <f>SUMIF($D$8:$D$10002,$D9,O$8:O$10002)</f>
        <v>0</v>
      </c>
      <c r="P4" s="3"/>
      <c r="Q4" s="4">
        <f>SUMIF($D$8:$D$10002,$D9,Q$8:Q$10002)</f>
        <v>0</v>
      </c>
      <c r="R4" s="3"/>
    </row>
    <row r="5" spans="2:30" ht="15" customHeight="1" thickBot="1" x14ac:dyDescent="0.3">
      <c r="B5" s="29"/>
      <c r="C5" s="29"/>
      <c r="D5" s="42" t="s">
        <v>5</v>
      </c>
      <c r="E5" s="5">
        <f>WEEKNUM(E2,1)</f>
        <v>18</v>
      </c>
      <c r="F5" s="6"/>
      <c r="G5" s="5">
        <f>WEEKNUM(G2,1)</f>
        <v>19</v>
      </c>
      <c r="H5" s="6"/>
      <c r="I5" s="5">
        <f>WEEKNUM(I2,1)</f>
        <v>20</v>
      </c>
      <c r="J5" s="6"/>
      <c r="K5" s="17">
        <f>WEEKNUM(K2,1)</f>
        <v>21</v>
      </c>
      <c r="L5" s="6"/>
      <c r="M5" s="5">
        <f>WEEKNUM(M2,1)</f>
        <v>22</v>
      </c>
      <c r="N5" s="6"/>
      <c r="O5" s="5">
        <f>WEEKNUM(O2,1)</f>
        <v>23</v>
      </c>
      <c r="P5" s="6"/>
      <c r="Q5" s="5">
        <f>WEEKNUM(Q2,1)</f>
        <v>24</v>
      </c>
      <c r="R5" s="6"/>
    </row>
    <row r="6" spans="2:30" ht="20.25" x14ac:dyDescent="0.25">
      <c r="B6" s="9" t="str">
        <f>Base!F4</f>
        <v>1 Analyse</v>
      </c>
      <c r="C6" s="43"/>
      <c r="D6" s="43"/>
      <c r="E6" s="44"/>
      <c r="F6" s="44"/>
      <c r="G6" s="44"/>
      <c r="H6" s="44"/>
      <c r="I6" s="44"/>
      <c r="J6" s="44"/>
      <c r="K6" s="44"/>
      <c r="L6" s="44"/>
      <c r="M6" s="44"/>
      <c r="N6" s="44"/>
      <c r="O6" s="44"/>
      <c r="P6" s="44"/>
      <c r="Q6" s="44"/>
      <c r="R6" s="44"/>
      <c r="S6" s="45">
        <f>SUMIF($D8:$D17,$D8,S8:S17)</f>
        <v>0.75000000000000011</v>
      </c>
      <c r="AA6" s="115"/>
      <c r="AB6" s="115"/>
      <c r="AC6" s="116"/>
      <c r="AD6" s="116"/>
    </row>
    <row r="7" spans="2:30" ht="15" customHeight="1" thickBot="1" x14ac:dyDescent="0.3">
      <c r="B7" s="46"/>
      <c r="C7" s="47"/>
      <c r="D7" s="47"/>
      <c r="E7" s="48"/>
      <c r="F7" s="48"/>
      <c r="G7" s="48"/>
      <c r="H7" s="48"/>
      <c r="I7" s="48"/>
      <c r="J7" s="48"/>
      <c r="K7" s="48"/>
      <c r="L7" s="48"/>
      <c r="M7" s="48"/>
      <c r="N7" s="48"/>
      <c r="O7" s="48"/>
      <c r="P7" s="48"/>
      <c r="Q7" s="48"/>
      <c r="R7" s="48"/>
      <c r="S7" s="49">
        <f>SUMIF($D8:$D17,$D9,S8:S17)</f>
        <v>0.88541666666666663</v>
      </c>
      <c r="AA7" s="115"/>
      <c r="AB7" s="115"/>
      <c r="AC7" s="116"/>
      <c r="AD7" s="116"/>
    </row>
    <row r="8" spans="2:30" ht="15" customHeight="1" x14ac:dyDescent="0.25">
      <c r="C8" s="7" t="str">
        <f>Base!G4</f>
        <v>1.1 Planification</v>
      </c>
      <c r="D8" s="50" t="str">
        <f>B$3</f>
        <v>Prévu</v>
      </c>
      <c r="E8" s="80">
        <v>0.16666666666666666</v>
      </c>
      <c r="F8" s="51"/>
      <c r="G8" s="80"/>
      <c r="H8" s="51"/>
      <c r="I8" s="80"/>
      <c r="J8" s="52"/>
      <c r="K8" s="81"/>
      <c r="L8" s="52"/>
      <c r="M8" s="82"/>
      <c r="N8" s="51"/>
      <c r="O8" s="81"/>
      <c r="P8" s="51"/>
      <c r="Q8" s="82"/>
      <c r="R8" s="51"/>
      <c r="S8" s="53">
        <f t="shared" ref="S8:S17" si="0">IF(SUM(E8:R8)=0,"",SUM(E8:R8))</f>
        <v>0.16666666666666666</v>
      </c>
      <c r="AA8" s="115"/>
      <c r="AB8" s="115"/>
      <c r="AC8" s="116"/>
      <c r="AD8" s="116"/>
    </row>
    <row r="9" spans="2:30" ht="15" customHeight="1" thickBot="1" x14ac:dyDescent="0.3">
      <c r="C9" s="54"/>
      <c r="D9" s="55" t="str">
        <f>B$4</f>
        <v>Mayor</v>
      </c>
      <c r="E9" s="56">
        <f>SUMIFS(Journal!$D$6:$D$9992,Journal!$B$6:$B$9992,E$5,Journal!$C$6:$C$9992,$C8)</f>
        <v>0.17361111111111113</v>
      </c>
      <c r="F9" s="57"/>
      <c r="G9" s="56">
        <f>SUMIFS(Journal!$D$6:$D$9992,Journal!$B$6:$B$9992,G$5,Journal!$C$6:$C$9992,$C8)</f>
        <v>2.4305555555555556E-2</v>
      </c>
      <c r="H9" s="57"/>
      <c r="I9" s="56">
        <f>SUMIFS(Journal!$D$6:$D$9992,Journal!$B$6:$B$9992,I$5,Journal!$C$6:$C$9992,$C8)</f>
        <v>0</v>
      </c>
      <c r="J9" s="58"/>
      <c r="K9" s="56">
        <f>SUMIFS(Journal!$D$6:$D$9992,Journal!$B$6:$B$9992,K$5,Journal!$C$6:$C$9992,$C8)</f>
        <v>0</v>
      </c>
      <c r="L9" s="58"/>
      <c r="M9" s="56">
        <f>SUMIFS(Journal!$D$6:$D$9992,Journal!$B$6:$B$9992,M$5,Journal!$C$6:$C$9992,$C8)</f>
        <v>0</v>
      </c>
      <c r="N9" s="57"/>
      <c r="O9" s="56">
        <f>SUMIFS(Journal!$D$6:$D$9992,Journal!$B$6:$B$9992,O$5,Journal!$C$6:$C$9992,$C8)</f>
        <v>0</v>
      </c>
      <c r="P9" s="57"/>
      <c r="Q9" s="56">
        <f>SUMIFS(Journal!$D$6:$D$9992,Journal!$B$6:$B$9992,Q$5,Journal!$C$6:$C$9992,$C8)</f>
        <v>0</v>
      </c>
      <c r="R9" s="57"/>
      <c r="S9" s="59">
        <f t="shared" si="0"/>
        <v>0.19791666666666669</v>
      </c>
      <c r="AA9" s="115"/>
      <c r="AB9" s="115"/>
      <c r="AC9" s="116"/>
      <c r="AD9" s="116"/>
    </row>
    <row r="10" spans="2:30" ht="15" customHeight="1" x14ac:dyDescent="0.25">
      <c r="C10" s="7" t="str">
        <f>Base!G5</f>
        <v>1.2 Recherches</v>
      </c>
      <c r="D10" s="50" t="str">
        <f>B$3</f>
        <v>Prévu</v>
      </c>
      <c r="E10" s="80">
        <v>0.16666666666666666</v>
      </c>
      <c r="F10" s="51"/>
      <c r="G10" s="80">
        <v>8.3333333333333329E-2</v>
      </c>
      <c r="H10" s="51"/>
      <c r="I10" s="80">
        <v>4.1666666666666664E-2</v>
      </c>
      <c r="J10" s="52"/>
      <c r="K10" s="81">
        <v>4.1666666666666664E-2</v>
      </c>
      <c r="L10" s="52"/>
      <c r="M10" s="82"/>
      <c r="N10" s="51"/>
      <c r="O10" s="81"/>
      <c r="P10" s="51"/>
      <c r="Q10" s="82"/>
      <c r="R10" s="51"/>
      <c r="S10" s="53">
        <f t="shared" si="0"/>
        <v>0.33333333333333337</v>
      </c>
      <c r="AA10" s="115"/>
      <c r="AB10" s="115"/>
      <c r="AC10" s="116"/>
      <c r="AD10" s="116"/>
    </row>
    <row r="11" spans="2:30" ht="15" customHeight="1" thickBot="1" x14ac:dyDescent="0.3">
      <c r="C11" s="54"/>
      <c r="D11" s="55" t="str">
        <f>B$4</f>
        <v>Mayor</v>
      </c>
      <c r="E11" s="56">
        <f>SUMIFS(Journal!$D$6:$D$9992,Journal!$B$6:$B$9992,E$5,Journal!$C$6:$C$9992,$C10)</f>
        <v>0.22916666666666666</v>
      </c>
      <c r="F11" s="57"/>
      <c r="G11" s="56">
        <f>SUMIFS(Journal!$D$6:$D$9992,Journal!$B$6:$B$9992,G$5,Journal!$C$6:$C$9992,$C10)</f>
        <v>8.3333333333333329E-2</v>
      </c>
      <c r="H11" s="57"/>
      <c r="I11" s="56">
        <f>SUMIFS(Journal!$D$6:$D$9992,Journal!$B$6:$B$9992,I$5,Journal!$C$6:$C$9992,$C10)</f>
        <v>8.3333333333333329E-2</v>
      </c>
      <c r="J11" s="58"/>
      <c r="K11" s="56">
        <f>SUMIFS(Journal!$D$6:$D$9992,Journal!$B$6:$B$9992,K$5,Journal!$C$6:$C$9992,$C10)</f>
        <v>8.3333333333333329E-2</v>
      </c>
      <c r="L11" s="58"/>
      <c r="M11" s="56">
        <f>SUMIFS(Journal!$D$6:$D$9992,Journal!$B$6:$B$9992,M$5,Journal!$C$6:$C$9992,$C10)</f>
        <v>0</v>
      </c>
      <c r="N11" s="57"/>
      <c r="O11" s="56">
        <f>SUMIFS(Journal!$D$6:$D$9992,Journal!$B$6:$B$9992,O$5,Journal!$C$6:$C$9992,$C10)</f>
        <v>0</v>
      </c>
      <c r="P11" s="57"/>
      <c r="Q11" s="56">
        <f>SUMIFS(Journal!$D$6:$D$9992,Journal!$B$6:$B$9992,Q$5,Journal!$C$6:$C$9992,$C10)</f>
        <v>0</v>
      </c>
      <c r="R11" s="57"/>
      <c r="S11" s="59">
        <f t="shared" si="0"/>
        <v>0.47916666666666663</v>
      </c>
      <c r="AA11" s="115"/>
      <c r="AB11" s="115"/>
      <c r="AC11" s="115"/>
      <c r="AD11" s="115"/>
    </row>
    <row r="12" spans="2:30" ht="15" customHeight="1" x14ac:dyDescent="0.25">
      <c r="C12" s="7" t="str">
        <f>Base!G6</f>
        <v>1.3 Elaboration des stratégies de test</v>
      </c>
      <c r="D12" s="50" t="str">
        <f>B$3</f>
        <v>Prévu</v>
      </c>
      <c r="E12" s="80">
        <v>8.3333333333333329E-2</v>
      </c>
      <c r="F12" s="51"/>
      <c r="G12" s="80"/>
      <c r="H12" s="51"/>
      <c r="I12" s="80"/>
      <c r="J12" s="52"/>
      <c r="K12" s="81"/>
      <c r="L12" s="52"/>
      <c r="M12" s="82"/>
      <c r="N12" s="51"/>
      <c r="O12" s="81"/>
      <c r="P12" s="51"/>
      <c r="Q12" s="82"/>
      <c r="R12" s="51"/>
      <c r="S12" s="53">
        <f t="shared" si="0"/>
        <v>8.3333333333333329E-2</v>
      </c>
      <c r="AC12" s="115"/>
      <c r="AD12" s="115"/>
    </row>
    <row r="13" spans="2:30" ht="15" customHeight="1" thickBot="1" x14ac:dyDescent="0.3">
      <c r="C13" s="54"/>
      <c r="D13" s="55" t="str">
        <f>B$4</f>
        <v>Mayor</v>
      </c>
      <c r="E13" s="56">
        <f>SUMIFS(Journal!$D$6:$D$9992,Journal!$B$6:$B$9992,E$5,Journal!$C$6:$C$9992,$C12)</f>
        <v>0</v>
      </c>
      <c r="F13" s="57"/>
      <c r="G13" s="56">
        <f>SUMIFS(Journal!$D$6:$D$9992,Journal!$B$6:$B$9992,G$5,Journal!$C$6:$C$9992,$C12)</f>
        <v>0</v>
      </c>
      <c r="H13" s="57"/>
      <c r="I13" s="56">
        <f>SUMIFS(Journal!$D$6:$D$9992,Journal!$B$6:$B$9992,I$5,Journal!$C$6:$C$9992,$C12)</f>
        <v>4.1666666666666664E-2</v>
      </c>
      <c r="J13" s="58"/>
      <c r="K13" s="56">
        <f>SUMIFS(Journal!$D$6:$D$9992,Journal!$B$6:$B$9992,K$5,Journal!$C$6:$C$9992,$C12)</f>
        <v>0</v>
      </c>
      <c r="L13" s="58"/>
      <c r="M13" s="56">
        <f>SUMIFS(Journal!$D$6:$D$9992,Journal!$B$6:$B$9992,M$5,Journal!$C$6:$C$9992,$C12)</f>
        <v>0</v>
      </c>
      <c r="N13" s="57"/>
      <c r="O13" s="56">
        <f>SUMIFS(Journal!$D$6:$D$9992,Journal!$B$6:$B$9992,O$5,Journal!$C$6:$C$9992,$C12)</f>
        <v>0</v>
      </c>
      <c r="P13" s="57"/>
      <c r="Q13" s="56">
        <f>SUMIFS(Journal!$D$6:$D$9992,Journal!$B$6:$B$9992,Q$5,Journal!$C$6:$C$9992,$C12)</f>
        <v>0</v>
      </c>
      <c r="R13" s="57"/>
      <c r="S13" s="59">
        <f t="shared" si="0"/>
        <v>4.1666666666666664E-2</v>
      </c>
      <c r="AC13" s="115"/>
      <c r="AD13" s="115"/>
    </row>
    <row r="14" spans="2:30" ht="15" customHeight="1" x14ac:dyDescent="0.25">
      <c r="C14" s="7" t="str">
        <f>Base!G7</f>
        <v>1.4 Adressage IP</v>
      </c>
      <c r="D14" s="50" t="str">
        <f>B$3</f>
        <v>Prévu</v>
      </c>
      <c r="E14" s="80">
        <v>8.3333333333333329E-2</v>
      </c>
      <c r="F14" s="51"/>
      <c r="G14" s="80"/>
      <c r="H14" s="51"/>
      <c r="I14" s="80"/>
      <c r="J14" s="52"/>
      <c r="K14" s="81"/>
      <c r="L14" s="52"/>
      <c r="M14" s="82"/>
      <c r="N14" s="51"/>
      <c r="O14" s="81"/>
      <c r="P14" s="51"/>
      <c r="Q14" s="82"/>
      <c r="R14" s="51"/>
      <c r="S14" s="53">
        <f t="shared" si="0"/>
        <v>8.3333333333333329E-2</v>
      </c>
      <c r="AC14" s="115"/>
      <c r="AD14" s="115"/>
    </row>
    <row r="15" spans="2:30" ht="15" customHeight="1" thickBot="1" x14ac:dyDescent="0.3">
      <c r="C15" s="54"/>
      <c r="D15" s="55" t="str">
        <f>B$4</f>
        <v>Mayor</v>
      </c>
      <c r="E15" s="56">
        <f>SUMIFS(Journal!$D$6:$D$9992,Journal!$B$6:$B$9992,E$5,Journal!$C$6:$C$9992,$C14)</f>
        <v>6.25E-2</v>
      </c>
      <c r="F15" s="57"/>
      <c r="G15" s="56">
        <f>SUMIFS(Journal!$D$6:$D$9992,Journal!$B$6:$B$9992,G$5,Journal!$C$6:$C$9992,$C14)</f>
        <v>2.0833333333333332E-2</v>
      </c>
      <c r="H15" s="57"/>
      <c r="I15" s="56">
        <f>SUMIFS(Journal!$D$6:$D$9992,Journal!$B$6:$B$9992,I$5,Journal!$C$6:$C$9992,$C14)</f>
        <v>0</v>
      </c>
      <c r="J15" s="58"/>
      <c r="K15" s="56">
        <f>SUMIFS(Journal!$D$6:$D$9992,Journal!$B$6:$B$9992,K$5,Journal!$C$6:$C$9992,$C14)</f>
        <v>0</v>
      </c>
      <c r="L15" s="58"/>
      <c r="M15" s="56">
        <f>SUMIFS(Journal!$D$6:$D$9992,Journal!$B$6:$B$9992,M$5,Journal!$C$6:$C$9992,$C14)</f>
        <v>0</v>
      </c>
      <c r="N15" s="57"/>
      <c r="O15" s="56">
        <f>SUMIFS(Journal!$D$6:$D$9992,Journal!$B$6:$B$9992,O$5,Journal!$C$6:$C$9992,$C14)</f>
        <v>0</v>
      </c>
      <c r="P15" s="57"/>
      <c r="Q15" s="56">
        <f>SUMIFS(Journal!$D$6:$D$9992,Journal!$B$6:$B$9992,Q$5,Journal!$C$6:$C$9992,$C14)</f>
        <v>0</v>
      </c>
      <c r="R15" s="57"/>
      <c r="S15" s="59">
        <f t="shared" si="0"/>
        <v>8.3333333333333329E-2</v>
      </c>
      <c r="AA15" s="115"/>
      <c r="AC15" s="115"/>
      <c r="AD15" s="115"/>
    </row>
    <row r="16" spans="2:30" ht="15" customHeight="1" x14ac:dyDescent="0.25">
      <c r="C16" s="7" t="str">
        <f>Base!G8</f>
        <v>1.5 Règles de pare-feu</v>
      </c>
      <c r="D16" s="50" t="str">
        <f>B$3</f>
        <v>Prévu</v>
      </c>
      <c r="E16" s="80">
        <v>8.3333333333333329E-2</v>
      </c>
      <c r="F16" s="51"/>
      <c r="G16" s="80"/>
      <c r="H16" s="51"/>
      <c r="I16" s="80"/>
      <c r="J16" s="52"/>
      <c r="K16" s="81"/>
      <c r="L16" s="52"/>
      <c r="M16" s="82"/>
      <c r="N16" s="51"/>
      <c r="O16" s="81"/>
      <c r="P16" s="51"/>
      <c r="Q16" s="82"/>
      <c r="R16" s="51"/>
      <c r="S16" s="53">
        <f t="shared" si="0"/>
        <v>8.3333333333333329E-2</v>
      </c>
      <c r="AC16" s="115"/>
      <c r="AD16" s="115"/>
    </row>
    <row r="17" spans="2:30" ht="15" customHeight="1" thickBot="1" x14ac:dyDescent="0.3">
      <c r="C17" s="54"/>
      <c r="D17" s="55" t="str">
        <f>B$4</f>
        <v>Mayor</v>
      </c>
      <c r="E17" s="56">
        <f>SUMIFS(Journal!$D$6:$D$9992,Journal!$B$6:$B$9992,E$5,Journal!$C$6:$C$9992,$C16)</f>
        <v>0</v>
      </c>
      <c r="F17" s="57"/>
      <c r="G17" s="56">
        <f>SUMIFS(Journal!$D$6:$D$9992,Journal!$B$6:$B$9992,G$5,Journal!$C$6:$C$9992,$C16)</f>
        <v>8.3333333333333329E-2</v>
      </c>
      <c r="H17" s="57"/>
      <c r="I17" s="56">
        <f>SUMIFS(Journal!$D$6:$D$9992,Journal!$B$6:$B$9992,I$5,Journal!$C$6:$C$9992,$C16)</f>
        <v>0</v>
      </c>
      <c r="J17" s="58"/>
      <c r="K17" s="56">
        <f>SUMIFS(Journal!$D$6:$D$9992,Journal!$B$6:$B$9992,K$5,Journal!$C$6:$C$9992,$C16)</f>
        <v>0</v>
      </c>
      <c r="L17" s="58"/>
      <c r="M17" s="56">
        <f>SUMIFS(Journal!$D$6:$D$9992,Journal!$B$6:$B$9992,M$5,Journal!$C$6:$C$9992,$C16)</f>
        <v>0</v>
      </c>
      <c r="N17" s="57"/>
      <c r="O17" s="56">
        <f>SUMIFS(Journal!$D$6:$D$9992,Journal!$B$6:$B$9992,O$5,Journal!$C$6:$C$9992,$C16)</f>
        <v>0</v>
      </c>
      <c r="P17" s="57"/>
      <c r="Q17" s="56">
        <f>SUMIFS(Journal!$D$6:$D$9992,Journal!$B$6:$B$9992,Q$5,Journal!$C$6:$C$9992,$C16)</f>
        <v>0</v>
      </c>
      <c r="R17" s="57"/>
      <c r="S17" s="59">
        <f t="shared" si="0"/>
        <v>8.3333333333333329E-2</v>
      </c>
      <c r="AC17" s="115"/>
      <c r="AD17" s="115"/>
    </row>
    <row r="18" spans="2:30" ht="20.25" x14ac:dyDescent="0.25">
      <c r="B18" s="8" t="str">
        <f>Base!F9</f>
        <v>2 Implémentation 1er temps</v>
      </c>
      <c r="C18" s="60"/>
      <c r="D18" s="60"/>
      <c r="E18" s="61"/>
      <c r="F18" s="61"/>
      <c r="G18" s="61"/>
      <c r="H18" s="61"/>
      <c r="I18" s="61"/>
      <c r="J18" s="61"/>
      <c r="K18" s="61"/>
      <c r="L18" s="61"/>
      <c r="M18" s="61"/>
      <c r="N18" s="61"/>
      <c r="O18" s="61"/>
      <c r="P18" s="61"/>
      <c r="Q18" s="61"/>
      <c r="R18" s="61"/>
      <c r="S18" s="45">
        <f>SUMIF($D20:$D41,$D20,S20:S41)</f>
        <v>0.62499999999999989</v>
      </c>
    </row>
    <row r="19" spans="2:30" ht="15" customHeight="1" thickBot="1" x14ac:dyDescent="0.3">
      <c r="B19" s="62"/>
      <c r="C19" s="63"/>
      <c r="D19" s="63"/>
      <c r="E19" s="64"/>
      <c r="F19" s="64"/>
      <c r="G19" s="64"/>
      <c r="H19" s="64"/>
      <c r="I19" s="64"/>
      <c r="J19" s="64"/>
      <c r="K19" s="64"/>
      <c r="L19" s="64"/>
      <c r="M19" s="64"/>
      <c r="N19" s="64"/>
      <c r="O19" s="64"/>
      <c r="P19" s="64"/>
      <c r="Q19" s="64"/>
      <c r="R19" s="64"/>
      <c r="S19" s="49">
        <f>SUMIF($D20:$D41,$D21,S20:S41)</f>
        <v>0.62499999999999989</v>
      </c>
    </row>
    <row r="20" spans="2:30" ht="15" customHeight="1" x14ac:dyDescent="0.25">
      <c r="C20" s="7" t="str">
        <f>Base!G9</f>
        <v>2.1 Création réseau siège principal</v>
      </c>
      <c r="D20" s="50" t="str">
        <f>B$3</f>
        <v>Prévu</v>
      </c>
      <c r="E20" s="80"/>
      <c r="F20" s="51"/>
      <c r="G20" s="80">
        <v>8.3333333333333329E-2</v>
      </c>
      <c r="H20" s="51"/>
      <c r="I20" s="80"/>
      <c r="J20" s="52"/>
      <c r="K20" s="81"/>
      <c r="L20" s="52"/>
      <c r="M20" s="82"/>
      <c r="N20" s="51"/>
      <c r="O20" s="81"/>
      <c r="P20" s="51"/>
      <c r="Q20" s="82"/>
      <c r="R20" s="51"/>
      <c r="S20" s="53">
        <f>IF(SUM(F20:R20)=0,"",SUM(F20:R20))</f>
        <v>8.3333333333333329E-2</v>
      </c>
    </row>
    <row r="21" spans="2:30" ht="15" customHeight="1" thickBot="1" x14ac:dyDescent="0.3">
      <c r="C21" s="54"/>
      <c r="D21" s="55" t="str">
        <f>B$4</f>
        <v>Mayor</v>
      </c>
      <c r="E21" s="56">
        <f>SUMIFS(Journal!$D$6:$D$9992,Journal!$B$6:$B$9992,E$5,Journal!$C$6:$C$9992,$C20)</f>
        <v>0</v>
      </c>
      <c r="F21" s="57"/>
      <c r="G21" s="56">
        <f>SUMIFS(Journal!$D$6:$D$9992,Journal!$B$6:$B$9992,G$5,Journal!$C$6:$C$9992,$C20)</f>
        <v>8.3333333333333329E-2</v>
      </c>
      <c r="H21" s="57"/>
      <c r="I21" s="56">
        <f>SUMIFS(Journal!$D$6:$D$9992,Journal!$B$6:$B$9992,I$5,Journal!$C$6:$C$9992,$C20)</f>
        <v>0</v>
      </c>
      <c r="J21" s="58"/>
      <c r="K21" s="56">
        <f>SUMIFS(Journal!$D$6:$D$9992,Journal!$B$6:$B$9992,K$5,Journal!$C$6:$C$9992,$C20)</f>
        <v>0</v>
      </c>
      <c r="L21" s="58"/>
      <c r="M21" s="56">
        <f>SUMIFS(Journal!$D$6:$D$9992,Journal!$B$6:$B$9992,M$5,Journal!$C$6:$C$9992,$C20)</f>
        <v>0</v>
      </c>
      <c r="N21" s="57"/>
      <c r="O21" s="56">
        <f>SUMIFS(Journal!$D$6:$D$9992,Journal!$B$6:$B$9992,O$5,Journal!$C$6:$C$9992,$C20)</f>
        <v>0</v>
      </c>
      <c r="P21" s="57"/>
      <c r="Q21" s="56">
        <f>SUMIFS(Journal!$D$6:$D$9992,Journal!$B$6:$B$9992,Q$5,Journal!$C$6:$C$9992,$C20)</f>
        <v>0</v>
      </c>
      <c r="R21" s="57"/>
      <c r="S21" s="59">
        <f>IF(SUM(E21:R21)=0,"",SUM(E21:R21))</f>
        <v>8.3333333333333329E-2</v>
      </c>
    </row>
    <row r="22" spans="2:30" ht="15" customHeight="1" x14ac:dyDescent="0.25">
      <c r="C22" s="7" t="str">
        <f>Base!G10</f>
        <v>2.2 Création VMs siège principal (serveur, client * 2)</v>
      </c>
      <c r="D22" s="50" t="str">
        <f t="shared" ref="D22" si="1">B$3</f>
        <v>Prévu</v>
      </c>
      <c r="E22" s="80"/>
      <c r="F22" s="51"/>
      <c r="G22" s="80">
        <v>4.1666666666666664E-2</v>
      </c>
      <c r="H22" s="51"/>
      <c r="I22" s="80"/>
      <c r="J22" s="52"/>
      <c r="K22" s="81"/>
      <c r="L22" s="52"/>
      <c r="M22" s="82"/>
      <c r="N22" s="51"/>
      <c r="O22" s="81"/>
      <c r="P22" s="51"/>
      <c r="Q22" s="82"/>
      <c r="R22" s="51"/>
      <c r="S22" s="53">
        <f t="shared" ref="S22" si="2">IF(SUM(F22:R22)=0,"",SUM(F22:R22))</f>
        <v>4.1666666666666664E-2</v>
      </c>
    </row>
    <row r="23" spans="2:30" ht="15" customHeight="1" thickBot="1" x14ac:dyDescent="0.3">
      <c r="C23" s="54"/>
      <c r="D23" s="55" t="str">
        <f t="shared" ref="D23" si="3">B$4</f>
        <v>Mayor</v>
      </c>
      <c r="E23" s="56">
        <f>SUMIFS(Journal!$D$6:$D$9992,Journal!$B$6:$B$9992,E$5,Journal!$C$6:$C$9992,$C22)</f>
        <v>0</v>
      </c>
      <c r="F23" s="57"/>
      <c r="G23" s="56">
        <f>SUMIFS(Journal!$D$6:$D$9992,Journal!$B$6:$B$9992,G$5,Journal!$C$6:$C$9992,$C22)</f>
        <v>4.1666666666666664E-2</v>
      </c>
      <c r="H23" s="57"/>
      <c r="I23" s="56">
        <f>SUMIFS(Journal!$D$6:$D$9992,Journal!$B$6:$B$9992,I$5,Journal!$C$6:$C$9992,$C22)</f>
        <v>0</v>
      </c>
      <c r="J23" s="58"/>
      <c r="K23" s="56">
        <f>SUMIFS(Journal!$D$6:$D$9992,Journal!$B$6:$B$9992,K$5,Journal!$C$6:$C$9992,$C22)</f>
        <v>0</v>
      </c>
      <c r="L23" s="58"/>
      <c r="M23" s="56">
        <f>SUMIFS(Journal!$D$6:$D$9992,Journal!$B$6:$B$9992,M$5,Journal!$C$6:$C$9992,$C22)</f>
        <v>0</v>
      </c>
      <c r="N23" s="57"/>
      <c r="O23" s="56">
        <f>SUMIFS(Journal!$D$6:$D$9992,Journal!$B$6:$B$9992,O$5,Journal!$C$6:$C$9992,$C22)</f>
        <v>0</v>
      </c>
      <c r="P23" s="57"/>
      <c r="Q23" s="56">
        <f>SUMIFS(Journal!$D$6:$D$9992,Journal!$B$6:$B$9992,Q$5,Journal!$C$6:$C$9992,$C22)</f>
        <v>0</v>
      </c>
      <c r="R23" s="57"/>
      <c r="S23" s="59">
        <f t="shared" ref="S23" si="4">IF(SUM(E23:R23)=0,"",SUM(E23:R23))</f>
        <v>4.1666666666666664E-2</v>
      </c>
    </row>
    <row r="24" spans="2:30" ht="15" customHeight="1" x14ac:dyDescent="0.25">
      <c r="C24" s="7" t="str">
        <f>Base!G11</f>
        <v>2.3 Création serveur VPN siège principal</v>
      </c>
      <c r="D24" s="50" t="str">
        <f t="shared" ref="D24" si="5">B$3</f>
        <v>Prévu</v>
      </c>
      <c r="E24" s="80"/>
      <c r="F24" s="51"/>
      <c r="G24" s="80">
        <v>8.3333333333333329E-2</v>
      </c>
      <c r="H24" s="51"/>
      <c r="I24" s="80"/>
      <c r="J24" s="52"/>
      <c r="K24" s="81"/>
      <c r="L24" s="52"/>
      <c r="M24" s="82"/>
      <c r="N24" s="51"/>
      <c r="O24" s="81"/>
      <c r="P24" s="51"/>
      <c r="Q24" s="82"/>
      <c r="R24" s="51"/>
      <c r="S24" s="53">
        <f t="shared" ref="S24" si="6">IF(SUM(F24:R24)=0,"",SUM(F24:R24))</f>
        <v>8.3333333333333329E-2</v>
      </c>
    </row>
    <row r="25" spans="2:30" ht="15" customHeight="1" thickBot="1" x14ac:dyDescent="0.3">
      <c r="C25" s="54"/>
      <c r="D25" s="55" t="str">
        <f t="shared" ref="D25" si="7">B$4</f>
        <v>Mayor</v>
      </c>
      <c r="E25" s="56">
        <f>SUMIFS(Journal!$D$6:$D$9992,Journal!$B$6:$B$9992,E$5,Journal!$C$6:$C$9992,$C24)</f>
        <v>0</v>
      </c>
      <c r="F25" s="57"/>
      <c r="G25" s="56">
        <f>SUMIFS(Journal!$D$6:$D$9992,Journal!$B$6:$B$9992,G$5,Journal!$C$6:$C$9992,$C24)</f>
        <v>8.3333333333333329E-2</v>
      </c>
      <c r="H25" s="57"/>
      <c r="I25" s="56">
        <f>SUMIFS(Journal!$D$6:$D$9992,Journal!$B$6:$B$9992,I$5,Journal!$C$6:$C$9992,$C24)</f>
        <v>0</v>
      </c>
      <c r="J25" s="58"/>
      <c r="K25" s="56">
        <f>SUMIFS(Journal!$D$6:$D$9992,Journal!$B$6:$B$9992,K$5,Journal!$C$6:$C$9992,$C24)</f>
        <v>0</v>
      </c>
      <c r="L25" s="58"/>
      <c r="M25" s="56">
        <f>SUMIFS(Journal!$D$6:$D$9992,Journal!$B$6:$B$9992,M$5,Journal!$C$6:$C$9992,$C24)</f>
        <v>0</v>
      </c>
      <c r="N25" s="57"/>
      <c r="O25" s="56">
        <f>SUMIFS(Journal!$D$6:$D$9992,Journal!$B$6:$B$9992,O$5,Journal!$C$6:$C$9992,$C24)</f>
        <v>0</v>
      </c>
      <c r="P25" s="57"/>
      <c r="Q25" s="56">
        <f>SUMIFS(Journal!$D$6:$D$9992,Journal!$B$6:$B$9992,Q$5,Journal!$C$6:$C$9992,$C24)</f>
        <v>0</v>
      </c>
      <c r="R25" s="57"/>
      <c r="S25" s="59">
        <f t="shared" ref="S25" si="8">IF(SUM(E25:R25)=0,"",SUM(E25:R25))</f>
        <v>8.3333333333333329E-2</v>
      </c>
    </row>
    <row r="26" spans="2:30" ht="15" customHeight="1" x14ac:dyDescent="0.25">
      <c r="C26" s="7" t="str">
        <f>Base!G12</f>
        <v>2.4 Implémentation pare-feu siège principal</v>
      </c>
      <c r="D26" s="50" t="str">
        <f t="shared" ref="D26" si="9">B$3</f>
        <v>Prévu</v>
      </c>
      <c r="E26" s="80"/>
      <c r="F26" s="51"/>
      <c r="G26" s="80">
        <v>8.3333333333333329E-2</v>
      </c>
      <c r="H26" s="51"/>
      <c r="I26" s="80"/>
      <c r="J26" s="52"/>
      <c r="K26" s="81"/>
      <c r="L26" s="52"/>
      <c r="M26" s="82"/>
      <c r="N26" s="51"/>
      <c r="O26" s="81"/>
      <c r="P26" s="51"/>
      <c r="Q26" s="82"/>
      <c r="R26" s="51"/>
      <c r="S26" s="53">
        <f t="shared" ref="S26" si="10">IF(SUM(F26:R26)=0,"",SUM(F26:R26))</f>
        <v>8.3333333333333329E-2</v>
      </c>
    </row>
    <row r="27" spans="2:30" ht="15" customHeight="1" thickBot="1" x14ac:dyDescent="0.3">
      <c r="C27" s="54"/>
      <c r="D27" s="55" t="str">
        <f t="shared" ref="D27" si="11">B$4</f>
        <v>Mayor</v>
      </c>
      <c r="E27" s="56">
        <f>SUMIFS(Journal!$D$6:$D$9992,Journal!$B$6:$B$9992,E$5,Journal!$C$6:$C$9992,$C26)</f>
        <v>0</v>
      </c>
      <c r="F27" s="57"/>
      <c r="G27" s="56">
        <f>SUMIFS(Journal!$D$6:$D$9992,Journal!$B$6:$B$9992,G$5,Journal!$C$6:$C$9992,$C26)</f>
        <v>8.3333333333333329E-2</v>
      </c>
      <c r="H27" s="57"/>
      <c r="I27" s="56">
        <f>SUMIFS(Journal!$D$6:$D$9992,Journal!$B$6:$B$9992,I$5,Journal!$C$6:$C$9992,$C26)</f>
        <v>0</v>
      </c>
      <c r="J27" s="58"/>
      <c r="K27" s="56">
        <f>SUMIFS(Journal!$D$6:$D$9992,Journal!$B$6:$B$9992,K$5,Journal!$C$6:$C$9992,$C26)</f>
        <v>0</v>
      </c>
      <c r="L27" s="58"/>
      <c r="M27" s="56">
        <f>SUMIFS(Journal!$D$6:$D$9992,Journal!$B$6:$B$9992,M$5,Journal!$C$6:$C$9992,$C26)</f>
        <v>0</v>
      </c>
      <c r="N27" s="57"/>
      <c r="O27" s="56">
        <f>SUMIFS(Journal!$D$6:$D$9992,Journal!$B$6:$B$9992,O$5,Journal!$C$6:$C$9992,$C26)</f>
        <v>0</v>
      </c>
      <c r="P27" s="57"/>
      <c r="Q27" s="56">
        <f>SUMIFS(Journal!$D$6:$D$9992,Journal!$B$6:$B$9992,Q$5,Journal!$C$6:$C$9992,$C26)</f>
        <v>0</v>
      </c>
      <c r="R27" s="57"/>
      <c r="S27" s="59">
        <f t="shared" ref="S27" si="12">IF(SUM(E27:R27)=0,"",SUM(E27:R27))</f>
        <v>8.3333333333333329E-2</v>
      </c>
    </row>
    <row r="28" spans="2:30" ht="15" customHeight="1" x14ac:dyDescent="0.25">
      <c r="C28" s="7" t="str">
        <f>Base!G13</f>
        <v>2.5 Création réseau succursalee 2</v>
      </c>
      <c r="D28" s="50" t="str">
        <f t="shared" ref="D28" si="13">B$3</f>
        <v>Prévu</v>
      </c>
      <c r="E28" s="80"/>
      <c r="F28" s="51"/>
      <c r="G28" s="80">
        <v>4.1666666666666664E-2</v>
      </c>
      <c r="H28" s="51"/>
      <c r="I28" s="80"/>
      <c r="J28" s="52"/>
      <c r="K28" s="81"/>
      <c r="L28" s="52"/>
      <c r="M28" s="82"/>
      <c r="N28" s="51"/>
      <c r="O28" s="81"/>
      <c r="P28" s="51"/>
      <c r="Q28" s="82"/>
      <c r="R28" s="51"/>
      <c r="S28" s="53">
        <f t="shared" ref="S28" si="14">IF(SUM(F28:R28)=0,"",SUM(F28:R28))</f>
        <v>4.1666666666666664E-2</v>
      </c>
    </row>
    <row r="29" spans="2:30" ht="15" customHeight="1" thickBot="1" x14ac:dyDescent="0.3">
      <c r="C29" s="54"/>
      <c r="D29" s="55" t="str">
        <f t="shared" ref="D29" si="15">B$4</f>
        <v>Mayor</v>
      </c>
      <c r="E29" s="56">
        <f>SUMIFS(Journal!$D$6:$D$9992,Journal!$B$6:$B$9992,E$5,Journal!$C$6:$C$9992,$C28)</f>
        <v>0</v>
      </c>
      <c r="F29" s="57"/>
      <c r="G29" s="56">
        <f>SUMIFS(Journal!$D$6:$D$9992,Journal!$B$6:$B$9992,G$5,Journal!$C$6:$C$9992,$C28)</f>
        <v>4.1666666666666664E-2</v>
      </c>
      <c r="H29" s="57"/>
      <c r="I29" s="56">
        <f>SUMIFS(Journal!$D$6:$D$9992,Journal!$B$6:$B$9992,I$5,Journal!$C$6:$C$9992,$C28)</f>
        <v>0</v>
      </c>
      <c r="J29" s="58"/>
      <c r="K29" s="56">
        <f>SUMIFS(Journal!$D$6:$D$9992,Journal!$B$6:$B$9992,K$5,Journal!$C$6:$C$9992,$C28)</f>
        <v>0</v>
      </c>
      <c r="L29" s="58"/>
      <c r="M29" s="56">
        <f>SUMIFS(Journal!$D$6:$D$9992,Journal!$B$6:$B$9992,M$5,Journal!$C$6:$C$9992,$C28)</f>
        <v>0</v>
      </c>
      <c r="N29" s="57"/>
      <c r="O29" s="56">
        <f>SUMIFS(Journal!$D$6:$D$9992,Journal!$B$6:$B$9992,O$5,Journal!$C$6:$C$9992,$C28)</f>
        <v>0</v>
      </c>
      <c r="P29" s="57"/>
      <c r="Q29" s="56">
        <f>SUMIFS(Journal!$D$6:$D$9992,Journal!$B$6:$B$9992,Q$5,Journal!$C$6:$C$9992,$C28)</f>
        <v>0</v>
      </c>
      <c r="R29" s="57"/>
      <c r="S29" s="59">
        <f t="shared" ref="S29" si="16">IF(SUM(E29:R29)=0,"",SUM(E29:R29))</f>
        <v>4.1666666666666664E-2</v>
      </c>
    </row>
    <row r="30" spans="2:30" ht="15" customHeight="1" x14ac:dyDescent="0.25">
      <c r="C30" s="7" t="str">
        <f>Base!G14</f>
        <v>2.6 Création VMs succursalee 2</v>
      </c>
      <c r="D30" s="50" t="str">
        <f t="shared" ref="D30" si="17">B$3</f>
        <v>Prévu</v>
      </c>
      <c r="E30" s="80"/>
      <c r="F30" s="51"/>
      <c r="G30" s="80">
        <v>4.1666666666666664E-2</v>
      </c>
      <c r="H30" s="51"/>
      <c r="I30" s="80"/>
      <c r="J30" s="52"/>
      <c r="K30" s="81"/>
      <c r="L30" s="52"/>
      <c r="M30" s="82"/>
      <c r="N30" s="51"/>
      <c r="O30" s="81"/>
      <c r="P30" s="51"/>
      <c r="Q30" s="82"/>
      <c r="R30" s="51"/>
      <c r="S30" s="53">
        <f t="shared" ref="S30" si="18">IF(SUM(F30:R30)=0,"",SUM(F30:R30))</f>
        <v>4.1666666666666664E-2</v>
      </c>
    </row>
    <row r="31" spans="2:30" ht="15" customHeight="1" thickBot="1" x14ac:dyDescent="0.3">
      <c r="C31" s="54"/>
      <c r="D31" s="55" t="str">
        <f t="shared" ref="D31" si="19">B$4</f>
        <v>Mayor</v>
      </c>
      <c r="E31" s="56">
        <f>SUMIFS(Journal!$D$6:$D$9992,Journal!$B$6:$B$9992,E$5,Journal!$C$6:$C$9992,$C30)</f>
        <v>0</v>
      </c>
      <c r="F31" s="57"/>
      <c r="G31" s="56">
        <f>SUMIFS(Journal!$D$6:$D$9992,Journal!$B$6:$B$9992,G$5,Journal!$C$6:$C$9992,$C30)</f>
        <v>4.1666666666666664E-2</v>
      </c>
      <c r="H31" s="57"/>
      <c r="I31" s="56">
        <f>SUMIFS(Journal!$D$6:$D$9992,Journal!$B$6:$B$9992,I$5,Journal!$C$6:$C$9992,$C30)</f>
        <v>0</v>
      </c>
      <c r="J31" s="58"/>
      <c r="K31" s="56">
        <f>SUMIFS(Journal!$D$6:$D$9992,Journal!$B$6:$B$9992,K$5,Journal!$C$6:$C$9992,$C30)</f>
        <v>0</v>
      </c>
      <c r="L31" s="58"/>
      <c r="M31" s="56">
        <f>SUMIFS(Journal!$D$6:$D$9992,Journal!$B$6:$B$9992,M$5,Journal!$C$6:$C$9992,$C30)</f>
        <v>0</v>
      </c>
      <c r="N31" s="57"/>
      <c r="O31" s="56">
        <f>SUMIFS(Journal!$D$6:$D$9992,Journal!$B$6:$B$9992,O$5,Journal!$C$6:$C$9992,$C30)</f>
        <v>0</v>
      </c>
      <c r="P31" s="57"/>
      <c r="Q31" s="56">
        <f>SUMIFS(Journal!$D$6:$D$9992,Journal!$B$6:$B$9992,Q$5,Journal!$C$6:$C$9992,$C30)</f>
        <v>0</v>
      </c>
      <c r="R31" s="57"/>
      <c r="S31" s="59">
        <f t="shared" ref="S31" si="20">IF(SUM(E31:R31)=0,"",SUM(E31:R31))</f>
        <v>4.1666666666666664E-2</v>
      </c>
    </row>
    <row r="32" spans="2:30" ht="15" customHeight="1" x14ac:dyDescent="0.25">
      <c r="C32" s="7" t="str">
        <f>Base!G15</f>
        <v>2.7 Création client VPN succursalee 2</v>
      </c>
      <c r="D32" s="50" t="str">
        <f t="shared" ref="D32" si="21">B$3</f>
        <v>Prévu</v>
      </c>
      <c r="E32" s="80"/>
      <c r="F32" s="51"/>
      <c r="G32" s="80">
        <v>8.3333333333333329E-2</v>
      </c>
      <c r="H32" s="51"/>
      <c r="I32" s="80"/>
      <c r="J32" s="52"/>
      <c r="K32" s="81"/>
      <c r="L32" s="52"/>
      <c r="M32" s="82"/>
      <c r="N32" s="51"/>
      <c r="O32" s="81"/>
      <c r="P32" s="51"/>
      <c r="Q32" s="82"/>
      <c r="R32" s="51"/>
      <c r="S32" s="53">
        <f t="shared" ref="S32" si="22">IF(SUM(F32:R32)=0,"",SUM(F32:R32))</f>
        <v>8.3333333333333329E-2</v>
      </c>
    </row>
    <row r="33" spans="2:19" ht="15" customHeight="1" thickBot="1" x14ac:dyDescent="0.3">
      <c r="C33" s="54"/>
      <c r="D33" s="55" t="str">
        <f t="shared" ref="D33" si="23">B$4</f>
        <v>Mayor</v>
      </c>
      <c r="E33" s="56">
        <f>SUMIFS(Journal!$D$6:$D$9992,Journal!$B$6:$B$9992,E$5,Journal!$C$6:$C$9992,$C32)</f>
        <v>0</v>
      </c>
      <c r="F33" s="57"/>
      <c r="G33" s="56">
        <f>SUMIFS(Journal!$D$6:$D$9992,Journal!$B$6:$B$9992,G$5,Journal!$C$6:$C$9992,$C32)</f>
        <v>8.3333333333333329E-2</v>
      </c>
      <c r="H33" s="57"/>
      <c r="I33" s="56">
        <f>SUMIFS(Journal!$D$6:$D$9992,Journal!$B$6:$B$9992,I$5,Journal!$C$6:$C$9992,$C32)</f>
        <v>0</v>
      </c>
      <c r="J33" s="58"/>
      <c r="K33" s="56">
        <f>SUMIFS(Journal!$D$6:$D$9992,Journal!$B$6:$B$9992,K$5,Journal!$C$6:$C$9992,$C32)</f>
        <v>0</v>
      </c>
      <c r="L33" s="58"/>
      <c r="M33" s="56">
        <f>SUMIFS(Journal!$D$6:$D$9992,Journal!$B$6:$B$9992,M$5,Journal!$C$6:$C$9992,$C32)</f>
        <v>0</v>
      </c>
      <c r="N33" s="57"/>
      <c r="O33" s="56">
        <f>SUMIFS(Journal!$D$6:$D$9992,Journal!$B$6:$B$9992,O$5,Journal!$C$6:$C$9992,$C32)</f>
        <v>0</v>
      </c>
      <c r="P33" s="57"/>
      <c r="Q33" s="56">
        <f>SUMIFS(Journal!$D$6:$D$9992,Journal!$B$6:$B$9992,Q$5,Journal!$C$6:$C$9992,$C32)</f>
        <v>0</v>
      </c>
      <c r="R33" s="57"/>
      <c r="S33" s="59">
        <f t="shared" ref="S33" si="24">IF(SUM(E33:R33)=0,"",SUM(E33:R33))</f>
        <v>8.3333333333333329E-2</v>
      </c>
    </row>
    <row r="34" spans="2:19" ht="15" customHeight="1" x14ac:dyDescent="0.25">
      <c r="C34" s="7" t="str">
        <f>Base!G16</f>
        <v>2.8 Implémentation pare-feu succursalee 2</v>
      </c>
      <c r="D34" s="50" t="str">
        <f t="shared" ref="D34" si="25">B$3</f>
        <v>Prévu</v>
      </c>
      <c r="E34" s="80"/>
      <c r="F34" s="51"/>
      <c r="G34" s="80">
        <v>4.1666666666666664E-2</v>
      </c>
      <c r="H34" s="51"/>
      <c r="I34" s="80"/>
      <c r="J34" s="52"/>
      <c r="K34" s="81"/>
      <c r="L34" s="52"/>
      <c r="M34" s="82"/>
      <c r="N34" s="51"/>
      <c r="O34" s="81"/>
      <c r="P34" s="51"/>
      <c r="Q34" s="82"/>
      <c r="R34" s="51"/>
      <c r="S34" s="53">
        <f t="shared" ref="S34" si="26">IF(SUM(F34:R34)=0,"",SUM(F34:R34))</f>
        <v>4.1666666666666664E-2</v>
      </c>
    </row>
    <row r="35" spans="2:19" ht="15" customHeight="1" thickBot="1" x14ac:dyDescent="0.3">
      <c r="C35" s="54"/>
      <c r="D35" s="55" t="str">
        <f t="shared" ref="D35" si="27">B$4</f>
        <v>Mayor</v>
      </c>
      <c r="E35" s="56">
        <f>SUMIFS(Journal!$D$6:$D$9992,Journal!$B$6:$B$9992,E$5,Journal!$C$6:$C$9992,$C34)</f>
        <v>0</v>
      </c>
      <c r="F35" s="57"/>
      <c r="G35" s="56">
        <f>SUMIFS(Journal!$D$6:$D$9992,Journal!$B$6:$B$9992,G$5,Journal!$C$6:$C$9992,$C34)</f>
        <v>4.1666666666666664E-2</v>
      </c>
      <c r="H35" s="57"/>
      <c r="I35" s="56">
        <f>SUMIFS(Journal!$D$6:$D$9992,Journal!$B$6:$B$9992,I$5,Journal!$C$6:$C$9992,$C34)</f>
        <v>0</v>
      </c>
      <c r="J35" s="58"/>
      <c r="K35" s="56">
        <f>SUMIFS(Journal!$D$6:$D$9992,Journal!$B$6:$B$9992,K$5,Journal!$C$6:$C$9992,$C34)</f>
        <v>0</v>
      </c>
      <c r="L35" s="58"/>
      <c r="M35" s="56">
        <f>SUMIFS(Journal!$D$6:$D$9992,Journal!$B$6:$B$9992,M$5,Journal!$C$6:$C$9992,$C34)</f>
        <v>0</v>
      </c>
      <c r="N35" s="57"/>
      <c r="O35" s="56">
        <f>SUMIFS(Journal!$D$6:$D$9992,Journal!$B$6:$B$9992,O$5,Journal!$C$6:$C$9992,$C34)</f>
        <v>0</v>
      </c>
      <c r="P35" s="57"/>
      <c r="Q35" s="56">
        <f>SUMIFS(Journal!$D$6:$D$9992,Journal!$B$6:$B$9992,Q$5,Journal!$C$6:$C$9992,$C34)</f>
        <v>0</v>
      </c>
      <c r="R35" s="57"/>
      <c r="S35" s="59">
        <f t="shared" ref="S35" si="28">IF(SUM(E35:R35)=0,"",SUM(E35:R35))</f>
        <v>4.1666666666666664E-2</v>
      </c>
    </row>
    <row r="36" spans="2:19" ht="15" customHeight="1" x14ac:dyDescent="0.25">
      <c r="C36" s="7" t="str">
        <f>Base!G17</f>
        <v>2.9 Création réseau télétravailleur</v>
      </c>
      <c r="D36" s="50" t="str">
        <f t="shared" ref="D36" si="29">B$3</f>
        <v>Prévu</v>
      </c>
      <c r="E36" s="80"/>
      <c r="F36" s="51"/>
      <c r="G36" s="80">
        <v>4.1666666666666664E-2</v>
      </c>
      <c r="H36" s="51"/>
      <c r="I36" s="80"/>
      <c r="J36" s="52"/>
      <c r="K36" s="81"/>
      <c r="L36" s="52"/>
      <c r="M36" s="82"/>
      <c r="N36" s="51"/>
      <c r="O36" s="81"/>
      <c r="P36" s="51"/>
      <c r="Q36" s="82"/>
      <c r="R36" s="51"/>
      <c r="S36" s="53">
        <f t="shared" ref="S36" si="30">IF(SUM(F36:R36)=0,"",SUM(F36:R36))</f>
        <v>4.1666666666666664E-2</v>
      </c>
    </row>
    <row r="37" spans="2:19" ht="15" customHeight="1" thickBot="1" x14ac:dyDescent="0.3">
      <c r="C37" s="54"/>
      <c r="D37" s="55" t="str">
        <f t="shared" ref="D37" si="31">B$4</f>
        <v>Mayor</v>
      </c>
      <c r="E37" s="56">
        <f>SUMIFS(Journal!$D$6:$D$9992,Journal!$B$6:$B$9992,E$5,Journal!$C$6:$C$9992,$C36)</f>
        <v>0</v>
      </c>
      <c r="F37" s="57"/>
      <c r="G37" s="56">
        <f>SUMIFS(Journal!$D$6:$D$9992,Journal!$B$6:$B$9992,G$5,Journal!$C$6:$C$9992,$C36)</f>
        <v>0</v>
      </c>
      <c r="H37" s="57"/>
      <c r="I37" s="56">
        <f>SUMIFS(Journal!$D$6:$D$9992,Journal!$B$6:$B$9992,I$5,Journal!$C$6:$C$9992,$C36)</f>
        <v>4.1666666666666664E-2</v>
      </c>
      <c r="J37" s="58"/>
      <c r="K37" s="56">
        <f>SUMIFS(Journal!$D$6:$D$9992,Journal!$B$6:$B$9992,K$5,Journal!$C$6:$C$9992,$C36)</f>
        <v>0</v>
      </c>
      <c r="L37" s="58"/>
      <c r="M37" s="56">
        <f>SUMIFS(Journal!$D$6:$D$9992,Journal!$B$6:$B$9992,M$5,Journal!$C$6:$C$9992,$C36)</f>
        <v>0</v>
      </c>
      <c r="N37" s="57"/>
      <c r="O37" s="56">
        <f>SUMIFS(Journal!$D$6:$D$9992,Journal!$B$6:$B$9992,O$5,Journal!$C$6:$C$9992,$C36)</f>
        <v>0</v>
      </c>
      <c r="P37" s="57"/>
      <c r="Q37" s="56">
        <f>SUMIFS(Journal!$D$6:$D$9992,Journal!$B$6:$B$9992,Q$5,Journal!$C$6:$C$9992,$C36)</f>
        <v>0</v>
      </c>
      <c r="R37" s="57"/>
      <c r="S37" s="59">
        <f t="shared" ref="S37" si="32">IF(SUM(E37:R37)=0,"",SUM(E37:R37))</f>
        <v>4.1666666666666664E-2</v>
      </c>
    </row>
    <row r="38" spans="2:19" ht="15" customHeight="1" x14ac:dyDescent="0.25">
      <c r="C38" s="7" t="str">
        <f>Base!G18</f>
        <v>2.10 Création VM télétravailleur</v>
      </c>
      <c r="D38" s="50" t="str">
        <f t="shared" ref="D38" si="33">B$3</f>
        <v>Prévu</v>
      </c>
      <c r="E38" s="80"/>
      <c r="F38" s="51"/>
      <c r="G38" s="80">
        <v>4.1666666666666664E-2</v>
      </c>
      <c r="H38" s="51"/>
      <c r="I38" s="80"/>
      <c r="J38" s="52"/>
      <c r="K38" s="81"/>
      <c r="L38" s="52"/>
      <c r="M38" s="82"/>
      <c r="N38" s="51"/>
      <c r="O38" s="81"/>
      <c r="P38" s="51"/>
      <c r="Q38" s="82"/>
      <c r="R38" s="51"/>
      <c r="S38" s="53">
        <f t="shared" ref="S38" si="34">IF(SUM(F38:R38)=0,"",SUM(F38:R38))</f>
        <v>4.1666666666666664E-2</v>
      </c>
    </row>
    <row r="39" spans="2:19" ht="15" customHeight="1" thickBot="1" x14ac:dyDescent="0.3">
      <c r="C39" s="54"/>
      <c r="D39" s="55" t="str">
        <f t="shared" ref="D39" si="35">B$4</f>
        <v>Mayor</v>
      </c>
      <c r="E39" s="56">
        <f>SUMIFS(Journal!$D$6:$D$9992,Journal!$B$6:$B$9992,E$5,Journal!$C$6:$C$9992,$C38)</f>
        <v>0</v>
      </c>
      <c r="F39" s="57"/>
      <c r="G39" s="56">
        <f>SUMIFS(Journal!$D$6:$D$9992,Journal!$B$6:$B$9992,G$5,Journal!$C$6:$C$9992,$C38)</f>
        <v>0</v>
      </c>
      <c r="H39" s="57"/>
      <c r="I39" s="56">
        <f>SUMIFS(Journal!$D$6:$D$9992,Journal!$B$6:$B$9992,I$5,Journal!$C$6:$C$9992,$C38)</f>
        <v>0</v>
      </c>
      <c r="J39" s="58"/>
      <c r="K39" s="56">
        <f>SUMIFS(Journal!$D$6:$D$9992,Journal!$B$6:$B$9992,K$5,Journal!$C$6:$C$9992,$C38)</f>
        <v>4.1666666666666664E-2</v>
      </c>
      <c r="L39" s="58"/>
      <c r="M39" s="56">
        <f>SUMIFS(Journal!$D$6:$D$9992,Journal!$B$6:$B$9992,M$5,Journal!$C$6:$C$9992,$C38)</f>
        <v>0</v>
      </c>
      <c r="N39" s="57"/>
      <c r="O39" s="56">
        <f>SUMIFS(Journal!$D$6:$D$9992,Journal!$B$6:$B$9992,O$5,Journal!$C$6:$C$9992,$C38)</f>
        <v>0</v>
      </c>
      <c r="P39" s="57"/>
      <c r="Q39" s="56">
        <f>SUMIFS(Journal!$D$6:$D$9992,Journal!$B$6:$B$9992,Q$5,Journal!$C$6:$C$9992,$C38)</f>
        <v>0</v>
      </c>
      <c r="R39" s="57"/>
      <c r="S39" s="59">
        <f t="shared" ref="S39" si="36">IF(SUM(E39:R39)=0,"",SUM(E39:R39))</f>
        <v>4.1666666666666664E-2</v>
      </c>
    </row>
    <row r="40" spans="2:19" ht="15" customHeight="1" x14ac:dyDescent="0.25">
      <c r="C40" s="7" t="str">
        <f>Base!G19</f>
        <v>2.11 Création client VPN télétravailleur</v>
      </c>
      <c r="D40" s="50" t="str">
        <f t="shared" ref="D40" si="37">B$3</f>
        <v>Prévu</v>
      </c>
      <c r="E40" s="80"/>
      <c r="F40" s="51"/>
      <c r="G40" s="80">
        <v>4.1666666666666664E-2</v>
      </c>
      <c r="H40" s="51"/>
      <c r="I40" s="80"/>
      <c r="J40" s="52"/>
      <c r="K40" s="81"/>
      <c r="L40" s="52"/>
      <c r="M40" s="82"/>
      <c r="N40" s="51"/>
      <c r="O40" s="81"/>
      <c r="P40" s="51"/>
      <c r="Q40" s="82"/>
      <c r="R40" s="51"/>
      <c r="S40" s="53">
        <f t="shared" ref="S40" si="38">IF(SUM(F40:R40)=0,"",SUM(F40:R40))</f>
        <v>4.1666666666666664E-2</v>
      </c>
    </row>
    <row r="41" spans="2:19" ht="15" customHeight="1" thickBot="1" x14ac:dyDescent="0.3">
      <c r="C41" s="54"/>
      <c r="D41" s="55" t="str">
        <f t="shared" ref="D41" si="39">B$4</f>
        <v>Mayor</v>
      </c>
      <c r="E41" s="56">
        <f>SUMIFS(Journal!$D$6:$D$9992,Journal!$B$6:$B$9992,E$5,Journal!$C$6:$C$9992,$C40)</f>
        <v>0</v>
      </c>
      <c r="F41" s="57"/>
      <c r="G41" s="56">
        <f>SUMIFS(Journal!$D$6:$D$9992,Journal!$B$6:$B$9992,G$5,Journal!$C$6:$C$9992,$C40)</f>
        <v>0</v>
      </c>
      <c r="H41" s="57"/>
      <c r="I41" s="56">
        <f>SUMIFS(Journal!$D$6:$D$9992,Journal!$B$6:$B$9992,I$5,Journal!$C$6:$C$9992,$C40)</f>
        <v>0</v>
      </c>
      <c r="J41" s="58"/>
      <c r="K41" s="56">
        <f>SUMIFS(Journal!$D$6:$D$9992,Journal!$B$6:$B$9992,K$5,Journal!$C$6:$C$9992,$C40)</f>
        <v>4.1666666666666664E-2</v>
      </c>
      <c r="L41" s="58"/>
      <c r="M41" s="56">
        <f>SUMIFS(Journal!$D$6:$D$9992,Journal!$B$6:$B$9992,M$5,Journal!$C$6:$C$9992,$C40)</f>
        <v>0</v>
      </c>
      <c r="N41" s="57"/>
      <c r="O41" s="56">
        <f>SUMIFS(Journal!$D$6:$D$9992,Journal!$B$6:$B$9992,O$5,Journal!$C$6:$C$9992,$C40)</f>
        <v>0</v>
      </c>
      <c r="P41" s="57"/>
      <c r="Q41" s="56">
        <f>SUMIFS(Journal!$D$6:$D$9992,Journal!$B$6:$B$9992,Q$5,Journal!$C$6:$C$9992,$C40)</f>
        <v>0</v>
      </c>
      <c r="R41" s="57"/>
      <c r="S41" s="59">
        <f t="shared" ref="S41" si="40">IF(SUM(E41:R41)=0,"",SUM(E41:R41))</f>
        <v>4.1666666666666664E-2</v>
      </c>
    </row>
    <row r="42" spans="2:19" ht="20.25" x14ac:dyDescent="0.25">
      <c r="B42" s="10" t="str">
        <f>Base!F21</f>
        <v>3 Implémentation 2ème temps</v>
      </c>
      <c r="C42" s="65"/>
      <c r="D42" s="65"/>
      <c r="E42" s="66"/>
      <c r="F42" s="66"/>
      <c r="G42" s="66"/>
      <c r="H42" s="66"/>
      <c r="I42" s="66"/>
      <c r="J42" s="66"/>
      <c r="K42" s="66"/>
      <c r="L42" s="66"/>
      <c r="M42" s="66"/>
      <c r="N42" s="66"/>
      <c r="O42" s="66"/>
      <c r="P42" s="66"/>
      <c r="Q42" s="66"/>
      <c r="R42" s="66"/>
      <c r="S42" s="45">
        <f>SUMIF($D44:$D57,$D44,S44:S57)</f>
        <v>0.91666666666666652</v>
      </c>
    </row>
    <row r="43" spans="2:19" ht="15" customHeight="1" thickBot="1" x14ac:dyDescent="0.3">
      <c r="B43" s="67"/>
      <c r="C43" s="68"/>
      <c r="D43" s="68"/>
      <c r="E43" s="69"/>
      <c r="F43" s="69"/>
      <c r="G43" s="69"/>
      <c r="H43" s="69"/>
      <c r="I43" s="69"/>
      <c r="J43" s="69"/>
      <c r="K43" s="69"/>
      <c r="L43" s="69"/>
      <c r="M43" s="69"/>
      <c r="N43" s="69"/>
      <c r="O43" s="69"/>
      <c r="P43" s="69"/>
      <c r="Q43" s="69"/>
      <c r="R43" s="69"/>
      <c r="S43" s="49">
        <f>SUMIF($D44:$D57,$D45,S44:S57)</f>
        <v>0.16666666666666666</v>
      </c>
    </row>
    <row r="44" spans="2:19" ht="15" customHeight="1" x14ac:dyDescent="0.25">
      <c r="C44" s="7" t="str">
        <f>Base!G21</f>
        <v>3.1 Implémentation/adaptation serveur VPN siège principal</v>
      </c>
      <c r="D44" s="50" t="str">
        <f>B$3</f>
        <v>Prévu</v>
      </c>
      <c r="E44" s="80"/>
      <c r="F44" s="51"/>
      <c r="G44" s="80"/>
      <c r="H44" s="51"/>
      <c r="I44" s="80">
        <v>0.16666666666666666</v>
      </c>
      <c r="J44" s="52"/>
      <c r="K44" s="81"/>
      <c r="L44" s="52"/>
      <c r="M44" s="82"/>
      <c r="N44" s="51"/>
      <c r="O44" s="81"/>
      <c r="P44" s="51"/>
      <c r="Q44" s="82"/>
      <c r="R44" s="51"/>
      <c r="S44" s="53">
        <f t="shared" ref="S44:S51" si="41">IF(SUM(E44:R44)=0,"",SUM(E44:R44))</f>
        <v>0.16666666666666666</v>
      </c>
    </row>
    <row r="45" spans="2:19" ht="15" customHeight="1" thickBot="1" x14ac:dyDescent="0.3">
      <c r="C45" s="54"/>
      <c r="D45" s="55" t="str">
        <f>B$4</f>
        <v>Mayor</v>
      </c>
      <c r="E45" s="56">
        <f>SUMIFS(Journal!$D$6:$D$9992,Journal!$B$6:$B$9992,E$5,Journal!$C$6:$C$9992,$C44)</f>
        <v>0</v>
      </c>
      <c r="F45" s="57"/>
      <c r="G45" s="56">
        <f>SUMIFS(Journal!$D$6:$D$9992,Journal!$B$6:$B$9992,G$5,Journal!$C$6:$C$9992,$C44)</f>
        <v>0</v>
      </c>
      <c r="H45" s="57"/>
      <c r="I45" s="56">
        <f>SUMIFS(Journal!$D$6:$D$9992,Journal!$B$6:$B$9992,I$5,Journal!$C$6:$C$9992,$C44)</f>
        <v>0</v>
      </c>
      <c r="J45" s="58"/>
      <c r="K45" s="56">
        <f>SUMIFS(Journal!$D$6:$D$9992,Journal!$B$6:$B$9992,K$5,Journal!$C$6:$C$9992,$C44)</f>
        <v>4.1666666666666664E-2</v>
      </c>
      <c r="L45" s="58"/>
      <c r="M45" s="56">
        <f>SUMIFS(Journal!$D$6:$D$9992,Journal!$B$6:$B$9992,M$5,Journal!$C$6:$C$9992,$C44)</f>
        <v>0</v>
      </c>
      <c r="N45" s="57"/>
      <c r="O45" s="56">
        <f>SUMIFS(Journal!$D$6:$D$9992,Journal!$B$6:$B$9992,O$5,Journal!$C$6:$C$9992,$C44)</f>
        <v>0</v>
      </c>
      <c r="P45" s="57"/>
      <c r="Q45" s="56">
        <f>SUMIFS(Journal!$D$6:$D$9992,Journal!$B$6:$B$9992,Q$5,Journal!$C$6:$C$9992,$C44)</f>
        <v>0</v>
      </c>
      <c r="R45" s="57"/>
      <c r="S45" s="59">
        <f t="shared" si="41"/>
        <v>4.1666666666666664E-2</v>
      </c>
    </row>
    <row r="46" spans="2:19" ht="15" customHeight="1" x14ac:dyDescent="0.25">
      <c r="C46" s="7" t="str">
        <f>Base!G22</f>
        <v>3.2 Implémentation/adaptation client VPN succursale 2</v>
      </c>
      <c r="D46" s="50" t="str">
        <f>B$3</f>
        <v>Prévu</v>
      </c>
      <c r="E46" s="80"/>
      <c r="F46" s="51"/>
      <c r="G46" s="80"/>
      <c r="H46" s="51"/>
      <c r="I46" s="80">
        <v>8.3333333333333329E-2</v>
      </c>
      <c r="J46" s="52"/>
      <c r="K46" s="81"/>
      <c r="L46" s="52"/>
      <c r="M46" s="82"/>
      <c r="N46" s="51"/>
      <c r="O46" s="81"/>
      <c r="P46" s="51"/>
      <c r="Q46" s="82"/>
      <c r="R46" s="51"/>
      <c r="S46" s="53">
        <f t="shared" si="41"/>
        <v>8.3333333333333329E-2</v>
      </c>
    </row>
    <row r="47" spans="2:19" ht="15" customHeight="1" thickBot="1" x14ac:dyDescent="0.3">
      <c r="C47" s="54"/>
      <c r="D47" s="55" t="str">
        <f>B$4</f>
        <v>Mayor</v>
      </c>
      <c r="E47" s="56">
        <f>SUMIFS(Journal!$D$6:$D$9992,Journal!$B$6:$B$9992,E$5,Journal!$C$6:$C$9992,$C46)</f>
        <v>0</v>
      </c>
      <c r="F47" s="57"/>
      <c r="G47" s="56">
        <f>SUMIFS(Journal!$D$6:$D$9992,Journal!$B$6:$B$9992,G$5,Journal!$C$6:$C$9992,$C46)</f>
        <v>0</v>
      </c>
      <c r="H47" s="57"/>
      <c r="I47" s="56">
        <f>SUMIFS(Journal!$D$6:$D$9992,Journal!$B$6:$B$9992,I$5,Journal!$C$6:$C$9992,$C46)</f>
        <v>0</v>
      </c>
      <c r="J47" s="58"/>
      <c r="K47" s="56">
        <f>SUMIFS(Journal!$D$6:$D$9992,Journal!$B$6:$B$9992,K$5,Journal!$C$6:$C$9992,$C46)</f>
        <v>4.1666666666666664E-2</v>
      </c>
      <c r="L47" s="58"/>
      <c r="M47" s="56">
        <f>SUMIFS(Journal!$D$6:$D$9992,Journal!$B$6:$B$9992,M$5,Journal!$C$6:$C$9992,$C46)</f>
        <v>0</v>
      </c>
      <c r="N47" s="57"/>
      <c r="O47" s="56">
        <f>SUMIFS(Journal!$D$6:$D$9992,Journal!$B$6:$B$9992,O$5,Journal!$C$6:$C$9992,$C46)</f>
        <v>0</v>
      </c>
      <c r="P47" s="57"/>
      <c r="Q47" s="56">
        <f>SUMIFS(Journal!$D$6:$D$9992,Journal!$B$6:$B$9992,Q$5,Journal!$C$6:$C$9992,$C46)</f>
        <v>0</v>
      </c>
      <c r="R47" s="57"/>
      <c r="S47" s="59">
        <f t="shared" si="41"/>
        <v>4.1666666666666664E-2</v>
      </c>
    </row>
    <row r="48" spans="2:19" ht="15" customHeight="1" x14ac:dyDescent="0.25">
      <c r="C48" s="7" t="str">
        <f>Base!G23</f>
        <v>3.3 Implémentation/adaptation client VPN télétravailleur</v>
      </c>
      <c r="D48" s="50" t="str">
        <f>B$3</f>
        <v>Prévu</v>
      </c>
      <c r="E48" s="80"/>
      <c r="F48" s="51"/>
      <c r="G48" s="80"/>
      <c r="H48" s="51"/>
      <c r="I48" s="80">
        <v>8.3333333333333329E-2</v>
      </c>
      <c r="J48" s="52"/>
      <c r="K48" s="81"/>
      <c r="L48" s="52"/>
      <c r="M48" s="82"/>
      <c r="N48" s="51"/>
      <c r="O48" s="81"/>
      <c r="P48" s="51"/>
      <c r="Q48" s="82"/>
      <c r="R48" s="51"/>
      <c r="S48" s="53">
        <f t="shared" si="41"/>
        <v>8.3333333333333329E-2</v>
      </c>
    </row>
    <row r="49" spans="2:19" ht="15" customHeight="1" thickBot="1" x14ac:dyDescent="0.3">
      <c r="C49" s="54"/>
      <c r="D49" s="55" t="str">
        <f>B$4</f>
        <v>Mayor</v>
      </c>
      <c r="E49" s="56">
        <f>SUMIFS(Journal!$D$6:$D$9992,Journal!$B$6:$B$9992,E$5,Journal!$C$6:$C$9992,$C48)</f>
        <v>0</v>
      </c>
      <c r="F49" s="57"/>
      <c r="G49" s="56">
        <f>SUMIFS(Journal!$D$6:$D$9992,Journal!$B$6:$B$9992,G$5,Journal!$C$6:$C$9992,$C48)</f>
        <v>0</v>
      </c>
      <c r="H49" s="57"/>
      <c r="I49" s="56">
        <f>SUMIFS(Journal!$D$6:$D$9992,Journal!$B$6:$B$9992,I$5,Journal!$C$6:$C$9992,$C48)</f>
        <v>0</v>
      </c>
      <c r="J49" s="58"/>
      <c r="K49" s="56">
        <f>SUMIFS(Journal!$D$6:$D$9992,Journal!$B$6:$B$9992,K$5,Journal!$C$6:$C$9992,$C48)</f>
        <v>4.1666666666666664E-2</v>
      </c>
      <c r="L49" s="58"/>
      <c r="M49" s="56">
        <f>SUMIFS(Journal!$D$6:$D$9992,Journal!$B$6:$B$9992,M$5,Journal!$C$6:$C$9992,$C48)</f>
        <v>0</v>
      </c>
      <c r="N49" s="57"/>
      <c r="O49" s="56">
        <f>SUMIFS(Journal!$D$6:$D$9992,Journal!$B$6:$B$9992,O$5,Journal!$C$6:$C$9992,$C48)</f>
        <v>0</v>
      </c>
      <c r="P49" s="57"/>
      <c r="Q49" s="56">
        <f>SUMIFS(Journal!$D$6:$D$9992,Journal!$B$6:$B$9992,Q$5,Journal!$C$6:$C$9992,$C48)</f>
        <v>0</v>
      </c>
      <c r="R49" s="57"/>
      <c r="S49" s="59">
        <f t="shared" si="41"/>
        <v>4.1666666666666664E-2</v>
      </c>
    </row>
    <row r="50" spans="2:19" ht="15" customHeight="1" x14ac:dyDescent="0.25">
      <c r="C50" s="7" t="str">
        <f>Base!G24</f>
        <v>3.4 Implémentation physique du pare-feu</v>
      </c>
      <c r="D50" s="50" t="str">
        <f>B$3</f>
        <v>Prévu</v>
      </c>
      <c r="E50" s="80"/>
      <c r="F50" s="51"/>
      <c r="G50" s="80"/>
      <c r="H50" s="51"/>
      <c r="I50" s="80">
        <v>8.3333333333333329E-2</v>
      </c>
      <c r="J50" s="52"/>
      <c r="K50" s="81"/>
      <c r="L50" s="52"/>
      <c r="M50" s="82"/>
      <c r="N50" s="51"/>
      <c r="O50" s="81"/>
      <c r="P50" s="51"/>
      <c r="Q50" s="82"/>
      <c r="R50" s="51"/>
      <c r="S50" s="53">
        <f t="shared" si="41"/>
        <v>8.3333333333333329E-2</v>
      </c>
    </row>
    <row r="51" spans="2:19" ht="15" customHeight="1" thickBot="1" x14ac:dyDescent="0.3">
      <c r="C51" s="54"/>
      <c r="D51" s="55" t="str">
        <f>B$4</f>
        <v>Mayor</v>
      </c>
      <c r="E51" s="56">
        <f>SUMIFS(Journal!$D$6:$D$9992,Journal!$B$6:$B$9992,E$5,Journal!$C$6:$C$9992,$C50)</f>
        <v>0</v>
      </c>
      <c r="F51" s="57"/>
      <c r="G51" s="56">
        <f>SUMIFS(Journal!$D$6:$D$9992,Journal!$B$6:$B$9992,G$5,Journal!$C$6:$C$9992,$C50)</f>
        <v>0</v>
      </c>
      <c r="H51" s="57"/>
      <c r="I51" s="56">
        <f>SUMIFS(Journal!$D$6:$D$9992,Journal!$B$6:$B$9992,I$5,Journal!$C$6:$C$9992,$C50)</f>
        <v>0</v>
      </c>
      <c r="J51" s="58"/>
      <c r="K51" s="56">
        <f>SUMIFS(Journal!$D$6:$D$9992,Journal!$B$6:$B$9992,K$5,Journal!$C$6:$C$9992,$C50)</f>
        <v>4.1666666666666664E-2</v>
      </c>
      <c r="L51" s="58"/>
      <c r="M51" s="56">
        <f>SUMIFS(Journal!$D$6:$D$9992,Journal!$B$6:$B$9992,M$5,Journal!$C$6:$C$9992,$C50)</f>
        <v>0</v>
      </c>
      <c r="N51" s="57"/>
      <c r="O51" s="56">
        <f>SUMIFS(Journal!$D$6:$D$9992,Journal!$B$6:$B$9992,O$5,Journal!$C$6:$C$9992,$C50)</f>
        <v>0</v>
      </c>
      <c r="P51" s="57"/>
      <c r="Q51" s="56">
        <f>SUMIFS(Journal!$D$6:$D$9992,Journal!$B$6:$B$9992,Q$5,Journal!$C$6:$C$9992,$C50)</f>
        <v>0</v>
      </c>
      <c r="R51" s="57"/>
      <c r="S51" s="59">
        <f t="shared" si="41"/>
        <v>4.1666666666666664E-2</v>
      </c>
    </row>
    <row r="52" spans="2:19" ht="15" customHeight="1" x14ac:dyDescent="0.25">
      <c r="C52" s="7" t="str">
        <f>Base!G25</f>
        <v>3.5 Implémentation/adaptation règles pare-feu siège principal</v>
      </c>
      <c r="D52" s="50" t="str">
        <f t="shared" ref="D52" si="42">B$3</f>
        <v>Prévu</v>
      </c>
      <c r="E52" s="80"/>
      <c r="F52" s="51"/>
      <c r="G52" s="80"/>
      <c r="H52" s="51"/>
      <c r="I52" s="80">
        <v>8.3333333333333329E-2</v>
      </c>
      <c r="J52" s="52"/>
      <c r="K52" s="81">
        <v>8.3333333333333329E-2</v>
      </c>
      <c r="L52" s="52"/>
      <c r="M52" s="82"/>
      <c r="N52" s="51"/>
      <c r="O52" s="81"/>
      <c r="P52" s="51"/>
      <c r="Q52" s="82"/>
      <c r="R52" s="51"/>
      <c r="S52" s="53">
        <f t="shared" ref="S52:S55" si="43">IF(SUM(E52:R52)=0,"",SUM(E52:R52))</f>
        <v>0.16666666666666666</v>
      </c>
    </row>
    <row r="53" spans="2:19" ht="15" customHeight="1" thickBot="1" x14ac:dyDescent="0.3">
      <c r="C53" s="54"/>
      <c r="D53" s="55" t="str">
        <f t="shared" ref="D53" si="44">B$4</f>
        <v>Mayor</v>
      </c>
      <c r="E53" s="56">
        <f>SUMIFS(Journal!$D$6:$D$9992,Journal!$B$6:$B$9992,E$5,Journal!$C$6:$C$9992,$C52)</f>
        <v>0</v>
      </c>
      <c r="F53" s="57"/>
      <c r="G53" s="56">
        <f>SUMIFS(Journal!$D$6:$D$9992,Journal!$B$6:$B$9992,G$5,Journal!$C$6:$C$9992,$C52)</f>
        <v>0</v>
      </c>
      <c r="H53" s="57"/>
      <c r="I53" s="56">
        <f>SUMIFS(Journal!$D$6:$D$9992,Journal!$B$6:$B$9992,I$5,Journal!$C$6:$C$9992,$C52)</f>
        <v>0</v>
      </c>
      <c r="J53" s="58"/>
      <c r="K53" s="56">
        <f>SUMIFS(Journal!$D$6:$D$9992,Journal!$B$6:$B$9992,K$5,Journal!$C$6:$C$9992,$C52)</f>
        <v>0</v>
      </c>
      <c r="L53" s="58"/>
      <c r="M53" s="56">
        <f>SUMIFS(Journal!$D$6:$D$9992,Journal!$B$6:$B$9992,M$5,Journal!$C$6:$C$9992,$C52)</f>
        <v>0</v>
      </c>
      <c r="N53" s="57"/>
      <c r="O53" s="56">
        <f>SUMIFS(Journal!$D$6:$D$9992,Journal!$B$6:$B$9992,O$5,Journal!$C$6:$C$9992,$C52)</f>
        <v>0</v>
      </c>
      <c r="P53" s="57"/>
      <c r="Q53" s="56">
        <f>SUMIFS(Journal!$D$6:$D$9992,Journal!$B$6:$B$9992,Q$5,Journal!$C$6:$C$9992,$C52)</f>
        <v>0</v>
      </c>
      <c r="R53" s="57"/>
      <c r="S53" s="59" t="str">
        <f t="shared" si="43"/>
        <v/>
      </c>
    </row>
    <row r="54" spans="2:19" ht="15" customHeight="1" x14ac:dyDescent="0.25">
      <c r="C54" s="7" t="str">
        <f>Base!G26</f>
        <v>3.6 Implémentation/adaptation règles pare-feu succursale 2</v>
      </c>
      <c r="D54" s="50" t="str">
        <f t="shared" ref="D54" si="45">B$3</f>
        <v>Prévu</v>
      </c>
      <c r="E54" s="80"/>
      <c r="F54" s="51"/>
      <c r="G54" s="80"/>
      <c r="H54" s="51"/>
      <c r="I54" s="80"/>
      <c r="J54" s="52"/>
      <c r="K54" s="81">
        <v>0.16666666666666666</v>
      </c>
      <c r="L54" s="52"/>
      <c r="M54" s="82"/>
      <c r="N54" s="51"/>
      <c r="O54" s="81"/>
      <c r="P54" s="51"/>
      <c r="Q54" s="82"/>
      <c r="R54" s="51"/>
      <c r="S54" s="53">
        <f t="shared" si="43"/>
        <v>0.16666666666666666</v>
      </c>
    </row>
    <row r="55" spans="2:19" ht="15" customHeight="1" thickBot="1" x14ac:dyDescent="0.3">
      <c r="C55" s="54"/>
      <c r="D55" s="55" t="str">
        <f t="shared" ref="D55" si="46">B$4</f>
        <v>Mayor</v>
      </c>
      <c r="E55" s="56">
        <f>SUMIFS(Journal!$D$6:$D$9992,Journal!$B$6:$B$9992,E$5,Journal!$C$6:$C$9992,$C54)</f>
        <v>0</v>
      </c>
      <c r="F55" s="57"/>
      <c r="G55" s="56">
        <f>SUMIFS(Journal!$D$6:$D$9992,Journal!$B$6:$B$9992,G$5,Journal!$C$6:$C$9992,$C54)</f>
        <v>0</v>
      </c>
      <c r="H55" s="57"/>
      <c r="I55" s="56">
        <f>SUMIFS(Journal!$D$6:$D$9992,Journal!$B$6:$B$9992,I$5,Journal!$C$6:$C$9992,$C54)</f>
        <v>0</v>
      </c>
      <c r="J55" s="58"/>
      <c r="K55" s="56">
        <f>SUMIFS(Journal!$D$6:$D$9992,Journal!$B$6:$B$9992,K$5,Journal!$C$6:$C$9992,$C54)</f>
        <v>0</v>
      </c>
      <c r="L55" s="58"/>
      <c r="M55" s="56">
        <f>SUMIFS(Journal!$D$6:$D$9992,Journal!$B$6:$B$9992,M$5,Journal!$C$6:$C$9992,$C54)</f>
        <v>0</v>
      </c>
      <c r="N55" s="57"/>
      <c r="O55" s="56">
        <f>SUMIFS(Journal!$D$6:$D$9992,Journal!$B$6:$B$9992,O$5,Journal!$C$6:$C$9992,$C54)</f>
        <v>0</v>
      </c>
      <c r="P55" s="57"/>
      <c r="Q55" s="56">
        <f>SUMIFS(Journal!$D$6:$D$9992,Journal!$B$6:$B$9992,Q$5,Journal!$C$6:$C$9992,$C54)</f>
        <v>0</v>
      </c>
      <c r="R55" s="57"/>
      <c r="S55" s="59" t="str">
        <f t="shared" si="43"/>
        <v/>
      </c>
    </row>
    <row r="56" spans="2:19" ht="15" customHeight="1" x14ac:dyDescent="0.25">
      <c r="C56" s="7" t="str">
        <f>Base!G27</f>
        <v>3.7 Implémentation/adaptation règles pare-feu télétravailleur</v>
      </c>
      <c r="D56" s="50" t="str">
        <f t="shared" ref="D56" si="47">B$3</f>
        <v>Prévu</v>
      </c>
      <c r="E56" s="80"/>
      <c r="F56" s="51"/>
      <c r="G56" s="80"/>
      <c r="H56" s="51"/>
      <c r="I56" s="80"/>
      <c r="J56" s="52"/>
      <c r="K56" s="81">
        <v>0.16666666666666666</v>
      </c>
      <c r="L56" s="52"/>
      <c r="M56" s="82"/>
      <c r="N56" s="51"/>
      <c r="O56" s="81"/>
      <c r="P56" s="51"/>
      <c r="Q56" s="82"/>
      <c r="R56" s="51"/>
      <c r="S56" s="53">
        <f t="shared" ref="S56:S57" si="48">IF(SUM(E56:R56)=0,"",SUM(E56:R56))</f>
        <v>0.16666666666666666</v>
      </c>
    </row>
    <row r="57" spans="2:19" ht="15" customHeight="1" thickBot="1" x14ac:dyDescent="0.3">
      <c r="C57" s="54"/>
      <c r="D57" s="55" t="str">
        <f t="shared" ref="D57" si="49">B$4</f>
        <v>Mayor</v>
      </c>
      <c r="E57" s="56">
        <f>SUMIFS(Journal!$D$6:$D$9992,Journal!$B$6:$B$9992,E$5,Journal!$C$6:$C$9992,$C56)</f>
        <v>0</v>
      </c>
      <c r="F57" s="57"/>
      <c r="G57" s="56">
        <f>SUMIFS(Journal!$D$6:$D$9992,Journal!$B$6:$B$9992,G$5,Journal!$C$6:$C$9992,$C56)</f>
        <v>0</v>
      </c>
      <c r="H57" s="57"/>
      <c r="I57" s="56">
        <f>SUMIFS(Journal!$D$6:$D$9992,Journal!$B$6:$B$9992,I$5,Journal!$C$6:$C$9992,$C56)</f>
        <v>0</v>
      </c>
      <c r="J57" s="58"/>
      <c r="K57" s="56">
        <f>SUMIFS(Journal!$D$6:$D$9992,Journal!$B$6:$B$9992,K$5,Journal!$C$6:$C$9992,$C56)</f>
        <v>0</v>
      </c>
      <c r="L57" s="58"/>
      <c r="M57" s="56">
        <f>SUMIFS(Journal!$D$6:$D$9992,Journal!$B$6:$B$9992,M$5,Journal!$C$6:$C$9992,$C56)</f>
        <v>0</v>
      </c>
      <c r="N57" s="57"/>
      <c r="O57" s="56">
        <f>SUMIFS(Journal!$D$6:$D$9992,Journal!$B$6:$B$9992,O$5,Journal!$C$6:$C$9992,$C56)</f>
        <v>0</v>
      </c>
      <c r="P57" s="57"/>
      <c r="Q57" s="56">
        <f>SUMIFS(Journal!$D$6:$D$9992,Journal!$B$6:$B$9992,Q$5,Journal!$C$6:$C$9992,$C56)</f>
        <v>0</v>
      </c>
      <c r="R57" s="57"/>
      <c r="S57" s="59" t="str">
        <f t="shared" si="48"/>
        <v/>
      </c>
    </row>
    <row r="58" spans="2:19" ht="20.25" x14ac:dyDescent="0.25">
      <c r="B58" s="11" t="str">
        <f>Base!F28</f>
        <v>4 Tests</v>
      </c>
      <c r="C58" s="70"/>
      <c r="D58" s="70"/>
      <c r="E58" s="71"/>
      <c r="F58" s="71"/>
      <c r="G58" s="71"/>
      <c r="H58" s="71"/>
      <c r="I58" s="71"/>
      <c r="J58" s="71"/>
      <c r="K58" s="71"/>
      <c r="L58" s="71"/>
      <c r="M58" s="71"/>
      <c r="N58" s="71"/>
      <c r="O58" s="71"/>
      <c r="P58" s="71"/>
      <c r="Q58" s="71"/>
      <c r="R58" s="71"/>
      <c r="S58" s="45">
        <f>SUMIF($D60:$D87,$D60,S60:S87)</f>
        <v>0.70138888888888884</v>
      </c>
    </row>
    <row r="59" spans="2:19" ht="15" customHeight="1" thickBot="1" x14ac:dyDescent="0.3">
      <c r="B59" s="72"/>
      <c r="C59" s="73"/>
      <c r="D59" s="73"/>
      <c r="E59" s="74"/>
      <c r="F59" s="74"/>
      <c r="G59" s="74"/>
      <c r="H59" s="74"/>
      <c r="I59" s="74"/>
      <c r="J59" s="74"/>
      <c r="K59" s="74"/>
      <c r="L59" s="74"/>
      <c r="M59" s="74"/>
      <c r="N59" s="74"/>
      <c r="O59" s="74"/>
      <c r="P59" s="74"/>
      <c r="Q59" s="74"/>
      <c r="R59" s="74"/>
      <c r="S59" s="49">
        <f>SUMIF($D60:$D87,$D61,S60:S87)</f>
        <v>0.60416666666666674</v>
      </c>
    </row>
    <row r="60" spans="2:19" ht="15" customHeight="1" x14ac:dyDescent="0.25">
      <c r="C60" s="7" t="str">
        <f>Base!G28</f>
        <v>4.1 Tests réseau siège principal</v>
      </c>
      <c r="D60" s="50" t="str">
        <f>B$3</f>
        <v>Prévu</v>
      </c>
      <c r="E60" s="80"/>
      <c r="F60" s="51"/>
      <c r="G60" s="80">
        <v>2.0833333333333332E-2</v>
      </c>
      <c r="H60" s="51"/>
      <c r="I60" s="80"/>
      <c r="J60" s="52"/>
      <c r="K60" s="81"/>
      <c r="L60" s="52"/>
      <c r="M60" s="82"/>
      <c r="N60" s="51"/>
      <c r="O60" s="81"/>
      <c r="P60" s="51"/>
      <c r="Q60" s="82"/>
      <c r="R60" s="51"/>
      <c r="S60" s="53">
        <f t="shared" ref="S60:S69" si="50">IF(SUM(E60:R60)=0,"",SUM(E60:R60))</f>
        <v>2.0833333333333332E-2</v>
      </c>
    </row>
    <row r="61" spans="2:19" ht="15" customHeight="1" thickBot="1" x14ac:dyDescent="0.3">
      <c r="C61" s="54"/>
      <c r="D61" s="55" t="str">
        <f>B$4</f>
        <v>Mayor</v>
      </c>
      <c r="E61" s="56">
        <f>SUMIFS(Journal!$D$6:$D$9992,Journal!$B$6:$B$9992,E$5,Journal!$C$6:$C$9992,$C60)</f>
        <v>0</v>
      </c>
      <c r="F61" s="57"/>
      <c r="G61" s="56">
        <f>SUMIFS(Journal!$D$6:$D$9992,Journal!$B$6:$B$9992,G$5,Journal!$C$6:$C$9992,$C60)</f>
        <v>2.0833333333333332E-2</v>
      </c>
      <c r="H61" s="57"/>
      <c r="I61" s="56">
        <f>SUMIFS(Journal!$D$6:$D$9992,Journal!$B$6:$B$9992,I$5,Journal!$C$6:$C$9992,$C60)</f>
        <v>0</v>
      </c>
      <c r="J61" s="58"/>
      <c r="K61" s="56">
        <f>SUMIFS(Journal!$D$6:$D$9992,Journal!$B$6:$B$9992,K$5,Journal!$C$6:$C$9992,$C60)</f>
        <v>0</v>
      </c>
      <c r="L61" s="58"/>
      <c r="M61" s="56">
        <f>SUMIFS(Journal!$D$6:$D$9992,Journal!$B$6:$B$9992,M$5,Journal!$C$6:$C$9992,$C60)</f>
        <v>0</v>
      </c>
      <c r="N61" s="57"/>
      <c r="O61" s="56">
        <f>SUMIFS(Journal!$D$6:$D$9992,Journal!$B$6:$B$9992,O$5,Journal!$C$6:$C$9992,$C60)</f>
        <v>0</v>
      </c>
      <c r="P61" s="57"/>
      <c r="Q61" s="56">
        <f>SUMIFS(Journal!$D$6:$D$9992,Journal!$B$6:$B$9992,Q$5,Journal!$C$6:$C$9992,$C60)</f>
        <v>0</v>
      </c>
      <c r="R61" s="57"/>
      <c r="S61" s="59">
        <f t="shared" si="50"/>
        <v>2.0833333333333332E-2</v>
      </c>
    </row>
    <row r="62" spans="2:19" ht="15" customHeight="1" x14ac:dyDescent="0.25">
      <c r="C62" s="7" t="str">
        <f>Base!G29</f>
        <v>4.2 Tests système siège principal</v>
      </c>
      <c r="D62" s="50" t="str">
        <f>B$3</f>
        <v>Prévu</v>
      </c>
      <c r="E62" s="80"/>
      <c r="F62" s="51"/>
      <c r="G62" s="80">
        <v>2.0833333333333332E-2</v>
      </c>
      <c r="H62" s="51"/>
      <c r="I62" s="80"/>
      <c r="J62" s="52"/>
      <c r="K62" s="81"/>
      <c r="L62" s="52"/>
      <c r="M62" s="82"/>
      <c r="N62" s="51"/>
      <c r="O62" s="81"/>
      <c r="P62" s="51"/>
      <c r="Q62" s="82"/>
      <c r="R62" s="51"/>
      <c r="S62" s="53">
        <f t="shared" si="50"/>
        <v>2.0833333333333332E-2</v>
      </c>
    </row>
    <row r="63" spans="2:19" ht="15" customHeight="1" thickBot="1" x14ac:dyDescent="0.3">
      <c r="C63" s="54"/>
      <c r="D63" s="55" t="str">
        <f>B$4</f>
        <v>Mayor</v>
      </c>
      <c r="E63" s="56">
        <f>SUMIFS(Journal!$D$6:$D$9992,Journal!$B$6:$B$9992,E$5,Journal!$C$6:$C$9992,$C62)</f>
        <v>0</v>
      </c>
      <c r="F63" s="57"/>
      <c r="G63" s="56">
        <f>SUMIFS(Journal!$D$6:$D$9992,Journal!$B$6:$B$9992,G$5,Journal!$C$6:$C$9992,$C62)</f>
        <v>2.0833333333333332E-2</v>
      </c>
      <c r="H63" s="57"/>
      <c r="I63" s="56">
        <f>SUMIFS(Journal!$D$6:$D$9992,Journal!$B$6:$B$9992,I$5,Journal!$C$6:$C$9992,$C62)</f>
        <v>0</v>
      </c>
      <c r="J63" s="58"/>
      <c r="K63" s="56">
        <f>SUMIFS(Journal!$D$6:$D$9992,Journal!$B$6:$B$9992,K$5,Journal!$C$6:$C$9992,$C62)</f>
        <v>0</v>
      </c>
      <c r="L63" s="58"/>
      <c r="M63" s="56">
        <f>SUMIFS(Journal!$D$6:$D$9992,Journal!$B$6:$B$9992,M$5,Journal!$C$6:$C$9992,$C62)</f>
        <v>0</v>
      </c>
      <c r="N63" s="57"/>
      <c r="O63" s="56">
        <f>SUMIFS(Journal!$D$6:$D$9992,Journal!$B$6:$B$9992,O$5,Journal!$C$6:$C$9992,$C62)</f>
        <v>0</v>
      </c>
      <c r="P63" s="57"/>
      <c r="Q63" s="56">
        <f>SUMIFS(Journal!$D$6:$D$9992,Journal!$B$6:$B$9992,Q$5,Journal!$C$6:$C$9992,$C62)</f>
        <v>0</v>
      </c>
      <c r="R63" s="57"/>
      <c r="S63" s="59">
        <f t="shared" si="50"/>
        <v>2.0833333333333332E-2</v>
      </c>
    </row>
    <row r="64" spans="2:19" ht="15" customHeight="1" x14ac:dyDescent="0.25">
      <c r="C64" s="7" t="str">
        <f>Base!G30</f>
        <v>4.3 Tests réseau succursale 2</v>
      </c>
      <c r="D64" s="50" t="str">
        <f>B$3</f>
        <v>Prévu</v>
      </c>
      <c r="E64" s="80"/>
      <c r="F64" s="51"/>
      <c r="G64" s="80">
        <v>2.0833333333333332E-2</v>
      </c>
      <c r="H64" s="51"/>
      <c r="I64" s="80"/>
      <c r="J64" s="52"/>
      <c r="K64" s="81"/>
      <c r="L64" s="52"/>
      <c r="M64" s="82"/>
      <c r="N64" s="51"/>
      <c r="O64" s="81"/>
      <c r="P64" s="51"/>
      <c r="Q64" s="82"/>
      <c r="R64" s="51"/>
      <c r="S64" s="53">
        <f t="shared" si="50"/>
        <v>2.0833333333333332E-2</v>
      </c>
    </row>
    <row r="65" spans="3:19" ht="15" customHeight="1" thickBot="1" x14ac:dyDescent="0.3">
      <c r="C65" s="54"/>
      <c r="D65" s="55" t="str">
        <f>B$4</f>
        <v>Mayor</v>
      </c>
      <c r="E65" s="56">
        <f>SUMIFS(Journal!$D$6:$D$9992,Journal!$B$6:$B$9992,E$5,Journal!$C$6:$C$9992,$C64)</f>
        <v>0</v>
      </c>
      <c r="F65" s="57"/>
      <c r="G65" s="56">
        <f>SUMIFS(Journal!$D$6:$D$9992,Journal!$B$6:$B$9992,G$5,Journal!$C$6:$C$9992,$C64)</f>
        <v>2.0833333333333332E-2</v>
      </c>
      <c r="H65" s="57"/>
      <c r="I65" s="56">
        <f>SUMIFS(Journal!$D$6:$D$9992,Journal!$B$6:$B$9992,I$5,Journal!$C$6:$C$9992,$C64)</f>
        <v>0</v>
      </c>
      <c r="J65" s="58"/>
      <c r="K65" s="56">
        <f>SUMIFS(Journal!$D$6:$D$9992,Journal!$B$6:$B$9992,K$5,Journal!$C$6:$C$9992,$C64)</f>
        <v>0</v>
      </c>
      <c r="L65" s="58"/>
      <c r="M65" s="56">
        <f>SUMIFS(Journal!$D$6:$D$9992,Journal!$B$6:$B$9992,M$5,Journal!$C$6:$C$9992,$C64)</f>
        <v>0</v>
      </c>
      <c r="N65" s="57"/>
      <c r="O65" s="56">
        <f>SUMIFS(Journal!$D$6:$D$9992,Journal!$B$6:$B$9992,O$5,Journal!$C$6:$C$9992,$C64)</f>
        <v>0</v>
      </c>
      <c r="P65" s="57"/>
      <c r="Q65" s="56">
        <f>SUMIFS(Journal!$D$6:$D$9992,Journal!$B$6:$B$9992,Q$5,Journal!$C$6:$C$9992,$C64)</f>
        <v>0</v>
      </c>
      <c r="R65" s="57"/>
      <c r="S65" s="59">
        <f t="shared" si="50"/>
        <v>2.0833333333333332E-2</v>
      </c>
    </row>
    <row r="66" spans="3:19" ht="15" customHeight="1" x14ac:dyDescent="0.25">
      <c r="C66" s="7" t="str">
        <f>Base!G31</f>
        <v>4.4 Tests système succursale 2</v>
      </c>
      <c r="D66" s="50" t="str">
        <f>B$3</f>
        <v>Prévu</v>
      </c>
      <c r="E66" s="80"/>
      <c r="F66" s="51"/>
      <c r="G66" s="80">
        <v>2.0833333333333332E-2</v>
      </c>
      <c r="H66" s="51"/>
      <c r="I66" s="80"/>
      <c r="J66" s="52"/>
      <c r="K66" s="81"/>
      <c r="L66" s="52"/>
      <c r="M66" s="82"/>
      <c r="N66" s="51"/>
      <c r="O66" s="81"/>
      <c r="P66" s="51"/>
      <c r="Q66" s="82"/>
      <c r="R66" s="51"/>
      <c r="S66" s="53">
        <f t="shared" si="50"/>
        <v>2.0833333333333332E-2</v>
      </c>
    </row>
    <row r="67" spans="3:19" ht="15" customHeight="1" thickBot="1" x14ac:dyDescent="0.3">
      <c r="C67" s="54"/>
      <c r="D67" s="55" t="str">
        <f>B$4</f>
        <v>Mayor</v>
      </c>
      <c r="E67" s="56">
        <f>SUMIFS(Journal!$D$6:$D$9992,Journal!$B$6:$B$9992,E$5,Journal!$C$6:$C$9992,$C66)</f>
        <v>0</v>
      </c>
      <c r="F67" s="57"/>
      <c r="G67" s="56">
        <f>SUMIFS(Journal!$D$6:$D$9992,Journal!$B$6:$B$9992,G$5,Journal!$C$6:$C$9992,$C66)</f>
        <v>2.0833333333333332E-2</v>
      </c>
      <c r="H67" s="57"/>
      <c r="I67" s="56">
        <f>SUMIFS(Journal!$D$6:$D$9992,Journal!$B$6:$B$9992,I$5,Journal!$C$6:$C$9992,$C66)</f>
        <v>0</v>
      </c>
      <c r="J67" s="58"/>
      <c r="K67" s="56">
        <f>SUMIFS(Journal!$D$6:$D$9992,Journal!$B$6:$B$9992,K$5,Journal!$C$6:$C$9992,$C66)</f>
        <v>0</v>
      </c>
      <c r="L67" s="58"/>
      <c r="M67" s="56">
        <f>SUMIFS(Journal!$D$6:$D$9992,Journal!$B$6:$B$9992,M$5,Journal!$C$6:$C$9992,$C66)</f>
        <v>0</v>
      </c>
      <c r="N67" s="57"/>
      <c r="O67" s="56">
        <f>SUMIFS(Journal!$D$6:$D$9992,Journal!$B$6:$B$9992,O$5,Journal!$C$6:$C$9992,$C66)</f>
        <v>0</v>
      </c>
      <c r="P67" s="57"/>
      <c r="Q67" s="56">
        <f>SUMIFS(Journal!$D$6:$D$9992,Journal!$B$6:$B$9992,Q$5,Journal!$C$6:$C$9992,$C66)</f>
        <v>0</v>
      </c>
      <c r="R67" s="57"/>
      <c r="S67" s="59">
        <f t="shared" si="50"/>
        <v>2.0833333333333332E-2</v>
      </c>
    </row>
    <row r="68" spans="3:19" ht="15" customHeight="1" x14ac:dyDescent="0.25">
      <c r="C68" s="7" t="str">
        <f>Base!G32</f>
        <v>4.5 Tests VPN site-to-site</v>
      </c>
      <c r="D68" s="50" t="str">
        <f>B$3</f>
        <v>Prévu</v>
      </c>
      <c r="E68" s="80"/>
      <c r="F68" s="51"/>
      <c r="G68" s="80">
        <v>2.0833333333333332E-2</v>
      </c>
      <c r="H68" s="51"/>
      <c r="I68" s="80"/>
      <c r="J68" s="52"/>
      <c r="K68" s="81"/>
      <c r="L68" s="52"/>
      <c r="M68" s="82"/>
      <c r="N68" s="51"/>
      <c r="O68" s="81"/>
      <c r="P68" s="51"/>
      <c r="Q68" s="82"/>
      <c r="R68" s="51"/>
      <c r="S68" s="53">
        <f t="shared" si="50"/>
        <v>2.0833333333333332E-2</v>
      </c>
    </row>
    <row r="69" spans="3:19" ht="15" customHeight="1" thickBot="1" x14ac:dyDescent="0.3">
      <c r="C69" s="54"/>
      <c r="D69" s="55" t="str">
        <f>B$4</f>
        <v>Mayor</v>
      </c>
      <c r="E69" s="56">
        <f>SUMIFS(Journal!$D$6:$D$9992,Journal!$B$6:$B$9992,E$5,Journal!$C$6:$C$9992,$C68)</f>
        <v>0</v>
      </c>
      <c r="F69" s="57"/>
      <c r="G69" s="56">
        <f>SUMIFS(Journal!$D$6:$D$9992,Journal!$B$6:$B$9992,G$5,Journal!$C$6:$C$9992,$C68)</f>
        <v>0</v>
      </c>
      <c r="H69" s="57"/>
      <c r="I69" s="56">
        <f>SUMIFS(Journal!$D$6:$D$9992,Journal!$B$6:$B$9992,I$5,Journal!$C$6:$C$9992,$C68)</f>
        <v>6.25E-2</v>
      </c>
      <c r="J69" s="58"/>
      <c r="K69" s="56">
        <f>SUMIFS(Journal!$D$6:$D$9992,Journal!$B$6:$B$9992,K$5,Journal!$C$6:$C$9992,$C68)</f>
        <v>0</v>
      </c>
      <c r="L69" s="58"/>
      <c r="M69" s="56">
        <f>SUMIFS(Journal!$D$6:$D$9992,Journal!$B$6:$B$9992,M$5,Journal!$C$6:$C$9992,$C68)</f>
        <v>0</v>
      </c>
      <c r="N69" s="57"/>
      <c r="O69" s="56">
        <f>SUMIFS(Journal!$D$6:$D$9992,Journal!$B$6:$B$9992,O$5,Journal!$C$6:$C$9992,$C68)</f>
        <v>0</v>
      </c>
      <c r="P69" s="57"/>
      <c r="Q69" s="56">
        <f>SUMIFS(Journal!$D$6:$D$9992,Journal!$B$6:$B$9992,Q$5,Journal!$C$6:$C$9992,$C68)</f>
        <v>0</v>
      </c>
      <c r="R69" s="57"/>
      <c r="S69" s="59">
        <f t="shared" si="50"/>
        <v>6.25E-2</v>
      </c>
    </row>
    <row r="70" spans="3:19" ht="15" customHeight="1" x14ac:dyDescent="0.25">
      <c r="C70" s="7" t="str">
        <f>Base!G33</f>
        <v>4.6 Tests pare-feu site-to-site</v>
      </c>
      <c r="D70" s="50" t="str">
        <f t="shared" ref="D70" si="51">B$3</f>
        <v>Prévu</v>
      </c>
      <c r="E70" s="80"/>
      <c r="F70" s="51"/>
      <c r="G70" s="80">
        <v>2.0833333333333332E-2</v>
      </c>
      <c r="H70" s="51"/>
      <c r="I70" s="80"/>
      <c r="J70" s="52"/>
      <c r="K70" s="81"/>
      <c r="L70" s="52"/>
      <c r="M70" s="82"/>
      <c r="N70" s="51"/>
      <c r="O70" s="81"/>
      <c r="P70" s="51"/>
      <c r="Q70" s="82"/>
      <c r="R70" s="51"/>
      <c r="S70" s="53">
        <f t="shared" ref="S70:S71" si="52">IF(SUM(E70:R70)=0,"",SUM(E70:R70))</f>
        <v>2.0833333333333332E-2</v>
      </c>
    </row>
    <row r="71" spans="3:19" ht="15" customHeight="1" thickBot="1" x14ac:dyDescent="0.3">
      <c r="C71" s="54"/>
      <c r="D71" s="55" t="str">
        <f t="shared" ref="D71" si="53">B$4</f>
        <v>Mayor</v>
      </c>
      <c r="E71" s="56">
        <f>SUMIFS(Journal!$D$6:$D$9992,Journal!$B$6:$B$9992,E$5,Journal!$C$6:$C$9992,$C70)</f>
        <v>0</v>
      </c>
      <c r="F71" s="57"/>
      <c r="G71" s="56">
        <f>SUMIFS(Journal!$D$6:$D$9992,Journal!$B$6:$B$9992,G$5,Journal!$C$6:$C$9992,$C70)</f>
        <v>0</v>
      </c>
      <c r="H71" s="57"/>
      <c r="I71" s="56">
        <f>SUMIFS(Journal!$D$6:$D$9992,Journal!$B$6:$B$9992,I$5,Journal!$C$6:$C$9992,$C70)</f>
        <v>6.25E-2</v>
      </c>
      <c r="J71" s="58"/>
      <c r="K71" s="56">
        <f>SUMIFS(Journal!$D$6:$D$9992,Journal!$B$6:$B$9992,K$5,Journal!$C$6:$C$9992,$C70)</f>
        <v>0</v>
      </c>
      <c r="L71" s="58"/>
      <c r="M71" s="56">
        <f>SUMIFS(Journal!$D$6:$D$9992,Journal!$B$6:$B$9992,M$5,Journal!$C$6:$C$9992,$C70)</f>
        <v>0</v>
      </c>
      <c r="N71" s="57"/>
      <c r="O71" s="56">
        <f>SUMIFS(Journal!$D$6:$D$9992,Journal!$B$6:$B$9992,O$5,Journal!$C$6:$C$9992,$C70)</f>
        <v>0</v>
      </c>
      <c r="P71" s="57"/>
      <c r="Q71" s="56">
        <f>SUMIFS(Journal!$D$6:$D$9992,Journal!$B$6:$B$9992,Q$5,Journal!$C$6:$C$9992,$C70)</f>
        <v>0</v>
      </c>
      <c r="R71" s="57"/>
      <c r="S71" s="59">
        <f t="shared" si="52"/>
        <v>6.25E-2</v>
      </c>
    </row>
    <row r="72" spans="3:19" ht="15" customHeight="1" x14ac:dyDescent="0.25">
      <c r="C72" s="7" t="str">
        <f>Base!G34</f>
        <v>4.7 Tests système télétravailleur</v>
      </c>
      <c r="D72" s="50" t="str">
        <f t="shared" ref="D72" si="54">B$3</f>
        <v>Prévu</v>
      </c>
      <c r="E72" s="80"/>
      <c r="F72" s="51"/>
      <c r="G72" s="80">
        <v>2.0833333333333332E-2</v>
      </c>
      <c r="H72" s="51"/>
      <c r="I72" s="80"/>
      <c r="J72" s="52"/>
      <c r="K72" s="81"/>
      <c r="L72" s="52"/>
      <c r="M72" s="82"/>
      <c r="N72" s="51"/>
      <c r="O72" s="81"/>
      <c r="P72" s="51"/>
      <c r="Q72" s="82"/>
      <c r="R72" s="51"/>
      <c r="S72" s="53">
        <f t="shared" ref="S72:S85" si="55">IF(SUM(E72:R72)=0,"",SUM(E72:R72))</f>
        <v>2.0833333333333332E-2</v>
      </c>
    </row>
    <row r="73" spans="3:19" ht="15" customHeight="1" thickBot="1" x14ac:dyDescent="0.3">
      <c r="C73" s="54"/>
      <c r="D73" s="55" t="str">
        <f t="shared" ref="D73" si="56">B$4</f>
        <v>Mayor</v>
      </c>
      <c r="E73" s="56">
        <f>SUMIFS(Journal!$D$6:$D$9992,Journal!$B$6:$B$9992,E$5,Journal!$C$6:$C$9992,$C72)</f>
        <v>0</v>
      </c>
      <c r="F73" s="57"/>
      <c r="G73" s="56">
        <f>SUMIFS(Journal!$D$6:$D$9992,Journal!$B$6:$B$9992,G$5,Journal!$C$6:$C$9992,$C72)</f>
        <v>0</v>
      </c>
      <c r="H73" s="57"/>
      <c r="I73" s="56">
        <f>SUMIFS(Journal!$D$6:$D$9992,Journal!$B$6:$B$9992,I$5,Journal!$C$6:$C$9992,$C72)</f>
        <v>0</v>
      </c>
      <c r="J73" s="58"/>
      <c r="K73" s="56">
        <f>SUMIFS(Journal!$D$6:$D$9992,Journal!$B$6:$B$9992,K$5,Journal!$C$6:$C$9992,$C72)</f>
        <v>2.0833333333333332E-2</v>
      </c>
      <c r="L73" s="58"/>
      <c r="M73" s="56">
        <f>SUMIFS(Journal!$D$6:$D$9992,Journal!$B$6:$B$9992,M$5,Journal!$C$6:$C$9992,$C72)</f>
        <v>0</v>
      </c>
      <c r="N73" s="57"/>
      <c r="O73" s="56">
        <f>SUMIFS(Journal!$D$6:$D$9992,Journal!$B$6:$B$9992,O$5,Journal!$C$6:$C$9992,$C72)</f>
        <v>0</v>
      </c>
      <c r="P73" s="57"/>
      <c r="Q73" s="56">
        <f>SUMIFS(Journal!$D$6:$D$9992,Journal!$B$6:$B$9992,Q$5,Journal!$C$6:$C$9992,$C72)</f>
        <v>0</v>
      </c>
      <c r="R73" s="57"/>
      <c r="S73" s="59">
        <f t="shared" si="55"/>
        <v>2.0833333333333332E-2</v>
      </c>
    </row>
    <row r="74" spans="3:19" ht="15" customHeight="1" x14ac:dyDescent="0.25">
      <c r="C74" s="7" t="str">
        <f>Base!G35</f>
        <v>4.8 Tests VPN client-to-site</v>
      </c>
      <c r="D74" s="50" t="str">
        <f t="shared" ref="D74" si="57">B$3</f>
        <v>Prévu</v>
      </c>
      <c r="E74" s="80"/>
      <c r="F74" s="51"/>
      <c r="G74" s="80">
        <v>2.0833333333333332E-2</v>
      </c>
      <c r="H74" s="51"/>
      <c r="I74" s="80"/>
      <c r="J74" s="52"/>
      <c r="K74" s="81"/>
      <c r="L74" s="52"/>
      <c r="M74" s="82"/>
      <c r="N74" s="51"/>
      <c r="O74" s="81"/>
      <c r="P74" s="51"/>
      <c r="Q74" s="82"/>
      <c r="R74" s="51"/>
      <c r="S74" s="53">
        <f t="shared" si="55"/>
        <v>2.0833333333333332E-2</v>
      </c>
    </row>
    <row r="75" spans="3:19" ht="15" customHeight="1" thickBot="1" x14ac:dyDescent="0.3">
      <c r="C75" s="54"/>
      <c r="D75" s="55" t="str">
        <f t="shared" ref="D75" si="58">B$4</f>
        <v>Mayor</v>
      </c>
      <c r="E75" s="56">
        <f>SUMIFS(Journal!$D$6:$D$9992,Journal!$B$6:$B$9992,E$5,Journal!$C$6:$C$9992,$C74)</f>
        <v>0</v>
      </c>
      <c r="F75" s="57"/>
      <c r="G75" s="56">
        <f>SUMIFS(Journal!$D$6:$D$9992,Journal!$B$6:$B$9992,G$5,Journal!$C$6:$C$9992,$C74)</f>
        <v>0</v>
      </c>
      <c r="H75" s="57"/>
      <c r="I75" s="56">
        <f>SUMIFS(Journal!$D$6:$D$9992,Journal!$B$6:$B$9992,I$5,Journal!$C$6:$C$9992,$C74)</f>
        <v>0</v>
      </c>
      <c r="J75" s="58"/>
      <c r="K75" s="56">
        <f>SUMIFS(Journal!$D$6:$D$9992,Journal!$B$6:$B$9992,K$5,Journal!$C$6:$C$9992,$C74)</f>
        <v>4.1666666666666664E-2</v>
      </c>
      <c r="L75" s="58"/>
      <c r="M75" s="56">
        <f>SUMIFS(Journal!$D$6:$D$9992,Journal!$B$6:$B$9992,M$5,Journal!$C$6:$C$9992,$C74)</f>
        <v>0</v>
      </c>
      <c r="N75" s="57"/>
      <c r="O75" s="56">
        <f>SUMIFS(Journal!$D$6:$D$9992,Journal!$B$6:$B$9992,O$5,Journal!$C$6:$C$9992,$C74)</f>
        <v>0</v>
      </c>
      <c r="P75" s="57"/>
      <c r="Q75" s="56">
        <f>SUMIFS(Journal!$D$6:$D$9992,Journal!$B$6:$B$9992,Q$5,Journal!$C$6:$C$9992,$C74)</f>
        <v>0</v>
      </c>
      <c r="R75" s="57"/>
      <c r="S75" s="59">
        <f t="shared" si="55"/>
        <v>4.1666666666666664E-2</v>
      </c>
    </row>
    <row r="76" spans="3:19" ht="15" customHeight="1" x14ac:dyDescent="0.25">
      <c r="C76" s="7" t="str">
        <f>Base!G36</f>
        <v>4.9 Tests pare-feu client-to-site</v>
      </c>
      <c r="D76" s="50" t="str">
        <f t="shared" ref="D76" si="59">B$3</f>
        <v>Prévu</v>
      </c>
      <c r="E76" s="80"/>
      <c r="F76" s="51"/>
      <c r="G76" s="80"/>
      <c r="H76" s="51"/>
      <c r="I76" s="80">
        <v>2.0833333333333332E-2</v>
      </c>
      <c r="J76" s="52"/>
      <c r="K76" s="81"/>
      <c r="L76" s="52"/>
      <c r="M76" s="82"/>
      <c r="N76" s="51"/>
      <c r="O76" s="81"/>
      <c r="P76" s="51"/>
      <c r="Q76" s="82"/>
      <c r="R76" s="51"/>
      <c r="S76" s="53">
        <f t="shared" si="55"/>
        <v>2.0833333333333332E-2</v>
      </c>
    </row>
    <row r="77" spans="3:19" ht="15" customHeight="1" thickBot="1" x14ac:dyDescent="0.3">
      <c r="C77" s="54"/>
      <c r="D77" s="55" t="str">
        <f t="shared" ref="D77" si="60">B$4</f>
        <v>Mayor</v>
      </c>
      <c r="E77" s="56">
        <f>SUMIFS(Journal!$D$6:$D$9992,Journal!$B$6:$B$9992,E$5,Journal!$C$6:$C$9992,$C76)</f>
        <v>0</v>
      </c>
      <c r="F77" s="57"/>
      <c r="G77" s="56">
        <f>SUMIFS(Journal!$D$6:$D$9992,Journal!$B$6:$B$9992,G$5,Journal!$C$6:$C$9992,$C76)</f>
        <v>0</v>
      </c>
      <c r="H77" s="57"/>
      <c r="I77" s="56">
        <f>SUMIFS(Journal!$D$6:$D$9992,Journal!$B$6:$B$9992,I$5,Journal!$C$6:$C$9992,$C76)</f>
        <v>0</v>
      </c>
      <c r="J77" s="58"/>
      <c r="K77" s="56">
        <f>SUMIFS(Journal!$D$6:$D$9992,Journal!$B$6:$B$9992,K$5,Journal!$C$6:$C$9992,$C76)</f>
        <v>0</v>
      </c>
      <c r="L77" s="58"/>
      <c r="M77" s="56">
        <f>SUMIFS(Journal!$D$6:$D$9992,Journal!$B$6:$B$9992,M$5,Journal!$C$6:$C$9992,$C76)</f>
        <v>0</v>
      </c>
      <c r="N77" s="57"/>
      <c r="O77" s="56">
        <f>SUMIFS(Journal!$D$6:$D$9992,Journal!$B$6:$B$9992,O$5,Journal!$C$6:$C$9992,$C76)</f>
        <v>0</v>
      </c>
      <c r="P77" s="57"/>
      <c r="Q77" s="56">
        <f>SUMIFS(Journal!$D$6:$D$9992,Journal!$B$6:$B$9992,Q$5,Journal!$C$6:$C$9992,$C76)</f>
        <v>0</v>
      </c>
      <c r="R77" s="57"/>
      <c r="S77" s="59" t="str">
        <f t="shared" si="55"/>
        <v/>
      </c>
    </row>
    <row r="78" spans="3:19" ht="15" customHeight="1" x14ac:dyDescent="0.25">
      <c r="C78" s="7" t="str">
        <f>Base!G37</f>
        <v>4.10 Tests VPN site-to-site 2ème temps</v>
      </c>
      <c r="D78" s="50" t="str">
        <f t="shared" ref="D78" si="61">B$3</f>
        <v>Prévu</v>
      </c>
      <c r="E78" s="80"/>
      <c r="F78" s="51"/>
      <c r="G78" s="80"/>
      <c r="H78" s="51"/>
      <c r="I78" s="80"/>
      <c r="J78" s="52"/>
      <c r="K78" s="81">
        <v>8.3333333333333329E-2</v>
      </c>
      <c r="L78" s="52"/>
      <c r="M78" s="82"/>
      <c r="N78" s="51"/>
      <c r="O78" s="81"/>
      <c r="P78" s="51"/>
      <c r="Q78" s="82"/>
      <c r="R78" s="51"/>
      <c r="S78" s="53">
        <f t="shared" si="55"/>
        <v>8.3333333333333329E-2</v>
      </c>
    </row>
    <row r="79" spans="3:19" ht="15" customHeight="1" thickBot="1" x14ac:dyDescent="0.3">
      <c r="C79" s="54"/>
      <c r="D79" s="55" t="str">
        <f t="shared" ref="D79" si="62">B$4</f>
        <v>Mayor</v>
      </c>
      <c r="E79" s="56">
        <f>SUMIFS(Journal!$D$6:$D$9992,Journal!$B$6:$B$9992,E$5,Journal!$C$6:$C$9992,$C78)</f>
        <v>0</v>
      </c>
      <c r="F79" s="57"/>
      <c r="G79" s="56">
        <f>SUMIFS(Journal!$D$6:$D$9992,Journal!$B$6:$B$9992,G$5,Journal!$C$6:$C$9992,$C78)</f>
        <v>0</v>
      </c>
      <c r="H79" s="57"/>
      <c r="I79" s="56">
        <f>SUMIFS(Journal!$D$6:$D$9992,Journal!$B$6:$B$9992,I$5,Journal!$C$6:$C$9992,$C78)</f>
        <v>0</v>
      </c>
      <c r="J79" s="58"/>
      <c r="K79" s="56">
        <f>SUMIFS(Journal!$D$6:$D$9992,Journal!$B$6:$B$9992,K$5,Journal!$C$6:$C$9992,$C78)</f>
        <v>4.1666666666666664E-2</v>
      </c>
      <c r="L79" s="58"/>
      <c r="M79" s="56">
        <f>SUMIFS(Journal!$D$6:$D$9992,Journal!$B$6:$B$9992,M$5,Journal!$C$6:$C$9992,$C78)</f>
        <v>0</v>
      </c>
      <c r="N79" s="57"/>
      <c r="O79" s="56">
        <f>SUMIFS(Journal!$D$6:$D$9992,Journal!$B$6:$B$9992,O$5,Journal!$C$6:$C$9992,$C78)</f>
        <v>0</v>
      </c>
      <c r="P79" s="57"/>
      <c r="Q79" s="56">
        <f>SUMIFS(Journal!$D$6:$D$9992,Journal!$B$6:$B$9992,Q$5,Journal!$C$6:$C$9992,$C78)</f>
        <v>0</v>
      </c>
      <c r="R79" s="57"/>
      <c r="S79" s="59">
        <f t="shared" si="55"/>
        <v>4.1666666666666664E-2</v>
      </c>
    </row>
    <row r="80" spans="3:19" ht="15" customHeight="1" x14ac:dyDescent="0.25">
      <c r="C80" s="7" t="str">
        <f>Base!G38</f>
        <v>4.11 Tests VPN client-to-site 2ème temps</v>
      </c>
      <c r="D80" s="50" t="str">
        <f t="shared" ref="D80" si="63">B$3</f>
        <v>Prévu</v>
      </c>
      <c r="E80" s="80"/>
      <c r="F80" s="51"/>
      <c r="G80" s="80"/>
      <c r="H80" s="51"/>
      <c r="I80" s="80"/>
      <c r="J80" s="52"/>
      <c r="K80" s="81">
        <v>8.3333333333333329E-2</v>
      </c>
      <c r="L80" s="52"/>
      <c r="M80" s="82"/>
      <c r="N80" s="51"/>
      <c r="O80" s="81"/>
      <c r="P80" s="51"/>
      <c r="Q80" s="82"/>
      <c r="R80" s="51"/>
      <c r="S80" s="53">
        <f t="shared" si="55"/>
        <v>8.3333333333333329E-2</v>
      </c>
    </row>
    <row r="81" spans="2:19" ht="15" customHeight="1" thickBot="1" x14ac:dyDescent="0.3">
      <c r="C81" s="54"/>
      <c r="D81" s="55" t="str">
        <f t="shared" ref="D81" si="64">B$4</f>
        <v>Mayor</v>
      </c>
      <c r="E81" s="56">
        <f>SUMIFS(Journal!$D$6:$D$9992,Journal!$B$6:$B$9992,E$5,Journal!$C$6:$C$9992,$C80)</f>
        <v>0</v>
      </c>
      <c r="F81" s="57"/>
      <c r="G81" s="56">
        <f>SUMIFS(Journal!$D$6:$D$9992,Journal!$B$6:$B$9992,G$5,Journal!$C$6:$C$9992,$C80)</f>
        <v>0</v>
      </c>
      <c r="H81" s="57"/>
      <c r="I81" s="56">
        <f>SUMIFS(Journal!$D$6:$D$9992,Journal!$B$6:$B$9992,I$5,Journal!$C$6:$C$9992,$C80)</f>
        <v>0</v>
      </c>
      <c r="J81" s="58"/>
      <c r="K81" s="56">
        <f>SUMIFS(Journal!$D$6:$D$9992,Journal!$B$6:$B$9992,K$5,Journal!$C$6:$C$9992,$C80)</f>
        <v>4.1666666666666664E-2</v>
      </c>
      <c r="L81" s="58"/>
      <c r="M81" s="56">
        <f>SUMIFS(Journal!$D$6:$D$9992,Journal!$B$6:$B$9992,M$5,Journal!$C$6:$C$9992,$C80)</f>
        <v>0</v>
      </c>
      <c r="N81" s="57"/>
      <c r="O81" s="56">
        <f>SUMIFS(Journal!$D$6:$D$9992,Journal!$B$6:$B$9992,O$5,Journal!$C$6:$C$9992,$C80)</f>
        <v>0</v>
      </c>
      <c r="P81" s="57"/>
      <c r="Q81" s="56">
        <f>SUMIFS(Journal!$D$6:$D$9992,Journal!$B$6:$B$9992,Q$5,Journal!$C$6:$C$9992,$C80)</f>
        <v>0</v>
      </c>
      <c r="R81" s="57"/>
      <c r="S81" s="59">
        <f t="shared" si="55"/>
        <v>4.1666666666666664E-2</v>
      </c>
    </row>
    <row r="82" spans="2:19" ht="15" customHeight="1" x14ac:dyDescent="0.25">
      <c r="C82" s="7" t="str">
        <f>Base!G39</f>
        <v>4.12 Tests pare-feu site-to-site</v>
      </c>
      <c r="D82" s="50" t="str">
        <f t="shared" ref="D82" si="65">B$3</f>
        <v>Prévu</v>
      </c>
      <c r="E82" s="80"/>
      <c r="F82" s="51"/>
      <c r="G82" s="80"/>
      <c r="H82" s="51"/>
      <c r="I82" s="80"/>
      <c r="J82" s="52"/>
      <c r="K82" s="81">
        <v>8.3333333333333329E-2</v>
      </c>
      <c r="L82" s="52"/>
      <c r="M82" s="82"/>
      <c r="N82" s="51"/>
      <c r="O82" s="81"/>
      <c r="P82" s="51"/>
      <c r="Q82" s="82"/>
      <c r="R82" s="51"/>
      <c r="S82" s="53">
        <f t="shared" si="55"/>
        <v>8.3333333333333329E-2</v>
      </c>
    </row>
    <row r="83" spans="2:19" ht="15" customHeight="1" thickBot="1" x14ac:dyDescent="0.3">
      <c r="C83" s="54"/>
      <c r="D83" s="55" t="str">
        <f t="shared" ref="D83" si="66">B$4</f>
        <v>Mayor</v>
      </c>
      <c r="E83" s="56">
        <f>SUMIFS(Journal!$D$6:$D$9992,Journal!$B$6:$B$9992,E$5,Journal!$C$6:$C$9992,$C82)</f>
        <v>0</v>
      </c>
      <c r="F83" s="57"/>
      <c r="G83" s="56">
        <f>SUMIFS(Journal!$D$6:$D$9992,Journal!$B$6:$B$9992,G$5,Journal!$C$6:$C$9992,$C82)</f>
        <v>0</v>
      </c>
      <c r="H83" s="57"/>
      <c r="I83" s="56">
        <f>SUMIFS(Journal!$D$6:$D$9992,Journal!$B$6:$B$9992,I$5,Journal!$C$6:$C$9992,$C82)</f>
        <v>0</v>
      </c>
      <c r="J83" s="58"/>
      <c r="K83" s="56">
        <f>SUMIFS(Journal!$D$6:$D$9992,Journal!$B$6:$B$9992,K$5,Journal!$C$6:$C$9992,$C82)</f>
        <v>0</v>
      </c>
      <c r="L83" s="58"/>
      <c r="M83" s="56">
        <f>SUMIFS(Journal!$D$6:$D$9992,Journal!$B$6:$B$9992,M$5,Journal!$C$6:$C$9992,$C82)</f>
        <v>0</v>
      </c>
      <c r="N83" s="57"/>
      <c r="O83" s="56">
        <f>SUMIFS(Journal!$D$6:$D$9992,Journal!$B$6:$B$9992,O$5,Journal!$C$6:$C$9992,$C82)</f>
        <v>0</v>
      </c>
      <c r="P83" s="57"/>
      <c r="Q83" s="56">
        <f>SUMIFS(Journal!$D$6:$D$9992,Journal!$B$6:$B$9992,Q$5,Journal!$C$6:$C$9992,$C82)</f>
        <v>0</v>
      </c>
      <c r="R83" s="57"/>
      <c r="S83" s="59" t="str">
        <f t="shared" si="55"/>
        <v/>
      </c>
    </row>
    <row r="84" spans="2:19" ht="15" customHeight="1" x14ac:dyDescent="0.25">
      <c r="C84" s="7" t="str">
        <f>Base!G40</f>
        <v>4.13 Tests pare-feu client-to-site</v>
      </c>
      <c r="D84" s="50" t="str">
        <f t="shared" ref="D84" si="67">B$3</f>
        <v>Prévu</v>
      </c>
      <c r="E84" s="80"/>
      <c r="F84" s="51"/>
      <c r="G84" s="80"/>
      <c r="H84" s="51"/>
      <c r="I84" s="80"/>
      <c r="J84" s="52"/>
      <c r="K84" s="81">
        <v>8.3333333333333329E-2</v>
      </c>
      <c r="L84" s="52"/>
      <c r="M84" s="82"/>
      <c r="N84" s="51"/>
      <c r="O84" s="81"/>
      <c r="P84" s="51"/>
      <c r="Q84" s="82"/>
      <c r="R84" s="51"/>
      <c r="S84" s="53" t="s">
        <v>132</v>
      </c>
    </row>
    <row r="85" spans="2:19" ht="15" customHeight="1" thickBot="1" x14ac:dyDescent="0.3">
      <c r="C85" s="54"/>
      <c r="D85" s="55" t="str">
        <f t="shared" ref="D85" si="68">B$4</f>
        <v>Mayor</v>
      </c>
      <c r="E85" s="56">
        <f>SUMIFS(Journal!$D$6:$D$9992,Journal!$B$6:$B$9992,E$5,Journal!$C$6:$C$9992,$C84)</f>
        <v>0</v>
      </c>
      <c r="F85" s="57"/>
      <c r="G85" s="56">
        <f>SUMIFS(Journal!$D$6:$D$9992,Journal!$B$6:$B$9992,G$5,Journal!$C$6:$C$9992,$C84)</f>
        <v>0</v>
      </c>
      <c r="H85" s="57"/>
      <c r="I85" s="56">
        <f>SUMIFS(Journal!$D$6:$D$9992,Journal!$B$6:$B$9992,I$5,Journal!$C$6:$C$9992,$C84)</f>
        <v>0</v>
      </c>
      <c r="J85" s="58"/>
      <c r="K85" s="56">
        <f>SUMIFS(Journal!$D$6:$D$9992,Journal!$B$6:$B$9992,K$5,Journal!$C$6:$C$9992,$C84)</f>
        <v>0</v>
      </c>
      <c r="L85" s="58"/>
      <c r="M85" s="56">
        <f>SUMIFS(Journal!$D$6:$D$9992,Journal!$B$6:$B$9992,M$5,Journal!$C$6:$C$9992,$C84)</f>
        <v>0</v>
      </c>
      <c r="N85" s="57"/>
      <c r="O85" s="56">
        <f>SUMIFS(Journal!$D$6:$D$9992,Journal!$B$6:$B$9992,O$5,Journal!$C$6:$C$9992,$C84)</f>
        <v>0</v>
      </c>
      <c r="P85" s="57"/>
      <c r="Q85" s="56">
        <f>SUMIFS(Journal!$D$6:$D$9992,Journal!$B$6:$B$9992,Q$5,Journal!$C$6:$C$9992,$C84)</f>
        <v>0</v>
      </c>
      <c r="R85" s="57"/>
      <c r="S85" s="59" t="str">
        <f t="shared" si="55"/>
        <v/>
      </c>
    </row>
    <row r="86" spans="2:19" ht="15" customHeight="1" x14ac:dyDescent="0.25">
      <c r="C86" s="7" t="str">
        <f>Base!G41</f>
        <v>4.14 Tests généraux</v>
      </c>
      <c r="D86" s="50" t="str">
        <f t="shared" ref="D86" si="69">B$3</f>
        <v>Prévu</v>
      </c>
      <c r="E86" s="80">
        <v>6.5972222222222224E-2</v>
      </c>
      <c r="F86" s="51"/>
      <c r="G86" s="80">
        <v>6.9444444444444441E-3</v>
      </c>
      <c r="H86" s="51"/>
      <c r="I86" s="80">
        <v>2.0833333333333332E-2</v>
      </c>
      <c r="J86" s="52"/>
      <c r="K86" s="81">
        <v>9.0277777777777776E-2</v>
      </c>
      <c r="L86" s="52"/>
      <c r="M86" s="82">
        <v>7.9861111111111105E-2</v>
      </c>
      <c r="N86" s="51"/>
      <c r="O86" s="81"/>
      <c r="P86" s="51"/>
      <c r="Q86" s="82"/>
      <c r="R86" s="51"/>
      <c r="S86" s="53">
        <f t="shared" ref="S86:S87" si="70">IF(SUM(E86:R86)=0,"",SUM(E86:R86))</f>
        <v>0.2638888888888889</v>
      </c>
    </row>
    <row r="87" spans="2:19" ht="15" customHeight="1" thickBot="1" x14ac:dyDescent="0.3">
      <c r="C87" s="54"/>
      <c r="D87" s="55" t="str">
        <f t="shared" ref="D87" si="71">B$4</f>
        <v>Mayor</v>
      </c>
      <c r="E87" s="56">
        <f>SUMIFS(Journal!$D$6:$D$9992,Journal!$B$6:$B$9992,E$5,Journal!$C$6:$C$9992,$C86)</f>
        <v>0</v>
      </c>
      <c r="F87" s="57"/>
      <c r="G87" s="56">
        <f>SUMIFS(Journal!$D$6:$D$9992,Journal!$B$6:$B$9992,G$5,Journal!$C$6:$C$9992,$C86)</f>
        <v>0</v>
      </c>
      <c r="H87" s="57"/>
      <c r="I87" s="56">
        <f>SUMIFS(Journal!$D$6:$D$9992,Journal!$B$6:$B$9992,I$5,Journal!$C$6:$C$9992,$C86)</f>
        <v>0.16666666666666669</v>
      </c>
      <c r="J87" s="58"/>
      <c r="K87" s="56">
        <f>SUMIFS(Journal!$D$6:$D$9992,Journal!$B$6:$B$9992,K$5,Journal!$C$6:$C$9992,$C86)</f>
        <v>8.3333333333333329E-2</v>
      </c>
      <c r="L87" s="58"/>
      <c r="M87" s="56">
        <f>SUMIFS(Journal!$D$6:$D$9992,Journal!$B$6:$B$9992,M$5,Journal!$C$6:$C$9992,$C86)</f>
        <v>0</v>
      </c>
      <c r="N87" s="57"/>
      <c r="O87" s="56">
        <f>SUMIFS(Journal!$D$6:$D$9992,Journal!$B$6:$B$9992,O$5,Journal!$C$6:$C$9992,$C86)</f>
        <v>0</v>
      </c>
      <c r="P87" s="57"/>
      <c r="Q87" s="56">
        <f>SUMIFS(Journal!$D$6:$D$9992,Journal!$B$6:$B$9992,Q$5,Journal!$C$6:$C$9992,$C86)</f>
        <v>0</v>
      </c>
      <c r="R87" s="57"/>
      <c r="S87" s="59">
        <f t="shared" si="70"/>
        <v>0.25</v>
      </c>
    </row>
    <row r="88" spans="2:19" ht="20.25" x14ac:dyDescent="0.25">
      <c r="B88" s="12" t="str">
        <f>Base!F42</f>
        <v>5 Documentation</v>
      </c>
      <c r="C88" s="75"/>
      <c r="D88" s="75"/>
      <c r="E88" s="76"/>
      <c r="F88" s="76"/>
      <c r="G88" s="76"/>
      <c r="H88" s="76"/>
      <c r="I88" s="76"/>
      <c r="J88" s="76"/>
      <c r="K88" s="76"/>
      <c r="L88" s="76"/>
      <c r="M88" s="76"/>
      <c r="N88" s="76"/>
      <c r="O88" s="76"/>
      <c r="P88" s="76"/>
      <c r="Q88" s="76"/>
      <c r="R88" s="76"/>
      <c r="S88" s="45">
        <f>SUMIF($D90:$D101,$D90,S90:S101)</f>
        <v>0.5625</v>
      </c>
    </row>
    <row r="89" spans="2:19" ht="15" customHeight="1" thickBot="1" x14ac:dyDescent="0.3">
      <c r="B89" s="77"/>
      <c r="C89" s="78"/>
      <c r="D89" s="78"/>
      <c r="E89" s="79"/>
      <c r="F89" s="79"/>
      <c r="G89" s="79"/>
      <c r="H89" s="79"/>
      <c r="I89" s="79"/>
      <c r="J89" s="79"/>
      <c r="K89" s="79"/>
      <c r="L89" s="79"/>
      <c r="M89" s="79"/>
      <c r="N89" s="79"/>
      <c r="O89" s="79"/>
      <c r="P89" s="79"/>
      <c r="Q89" s="79"/>
      <c r="R89" s="79"/>
      <c r="S89" s="49">
        <f>SUMIF($D90:$D101,$D91,S90:S101)</f>
        <v>1.3819444444444444</v>
      </c>
    </row>
    <row r="90" spans="2:19" ht="15" customHeight="1" x14ac:dyDescent="0.25">
      <c r="C90" s="7" t="str">
        <f>Base!G42</f>
        <v>5.1 Documentation</v>
      </c>
      <c r="D90" s="50" t="str">
        <f>B$3</f>
        <v>Prévu</v>
      </c>
      <c r="E90" s="80">
        <v>8.3333333333333329E-2</v>
      </c>
      <c r="F90" s="51"/>
      <c r="G90" s="80">
        <v>8.3333333333333329E-2</v>
      </c>
      <c r="H90" s="51"/>
      <c r="I90" s="80">
        <v>8.3333333333333329E-2</v>
      </c>
      <c r="J90" s="52"/>
      <c r="K90" s="81">
        <v>8.3333333333333329E-2</v>
      </c>
      <c r="L90" s="52"/>
      <c r="M90" s="82">
        <v>0.1875</v>
      </c>
      <c r="N90" s="51"/>
      <c r="O90" s="81"/>
      <c r="P90" s="51"/>
      <c r="Q90" s="82"/>
      <c r="R90" s="51"/>
      <c r="S90" s="53">
        <f>IF(SUM(F90:R90)=0,"",SUM(F90:R90))</f>
        <v>0.4375</v>
      </c>
    </row>
    <row r="91" spans="2:19" ht="15" customHeight="1" thickBot="1" x14ac:dyDescent="0.3">
      <c r="C91" s="54"/>
      <c r="D91" s="55" t="str">
        <f>B$4</f>
        <v>Mayor</v>
      </c>
      <c r="E91" s="56">
        <f>SUMIFS(Journal!$D$6:$D$9992,Journal!$B$6:$B$9992,E$5,Journal!$C$6:$C$9992,$C90)</f>
        <v>0.10416666666666666</v>
      </c>
      <c r="F91" s="57"/>
      <c r="G91" s="56">
        <f>SUMIFS(Journal!$D$6:$D$9992,Journal!$B$6:$B$9992,G$5,Journal!$C$6:$C$9992,$C90)</f>
        <v>4.1666666666666664E-2</v>
      </c>
      <c r="H91" s="57"/>
      <c r="I91" s="56">
        <f>SUMIFS(Journal!$D$6:$D$9992,Journal!$B$6:$B$9992,I$5,Journal!$C$6:$C$9992,$C90)</f>
        <v>4.1666666666666664E-2</v>
      </c>
      <c r="J91" s="58"/>
      <c r="K91" s="56">
        <f>SUMIFS(Journal!$D$6:$D$9992,Journal!$B$6:$B$9992,K$5,Journal!$C$6:$C$9992,$C90)</f>
        <v>0.42708333333333326</v>
      </c>
      <c r="L91" s="58"/>
      <c r="M91" s="56">
        <f>SUMIFS(Journal!$D$6:$D$9992,Journal!$B$6:$B$9992,M$5,Journal!$C$6:$C$9992,$C90)</f>
        <v>0.2986111111111111</v>
      </c>
      <c r="N91" s="57"/>
      <c r="O91" s="56">
        <f>SUMIFS(Journal!$D$6:$D$9992,Journal!$B$6:$B$9992,O$5,Journal!$C$6:$C$9992,$C90)</f>
        <v>0</v>
      </c>
      <c r="P91" s="57"/>
      <c r="Q91" s="56">
        <f>SUMIFS(Journal!$D$6:$D$9992,Journal!$B$6:$B$9992,Q$5,Journal!$C$6:$C$9992,$C90)</f>
        <v>0</v>
      </c>
      <c r="R91" s="57"/>
      <c r="S91" s="59">
        <f>IF(SUM(E91:R91)=0,"",SUM(E91:R91))</f>
        <v>0.91319444444444442</v>
      </c>
    </row>
    <row r="92" spans="2:19" ht="15" customHeight="1" x14ac:dyDescent="0.25">
      <c r="C92" s="7" t="str">
        <f>Base!G43</f>
        <v>5.2 Journal de travail</v>
      </c>
      <c r="D92" s="50" t="str">
        <f>B$3</f>
        <v>Prévu</v>
      </c>
      <c r="E92" s="80">
        <v>3.125E-2</v>
      </c>
      <c r="F92" s="51"/>
      <c r="G92" s="80">
        <v>3.125E-2</v>
      </c>
      <c r="H92" s="51"/>
      <c r="I92" s="80">
        <v>3.125E-2</v>
      </c>
      <c r="J92" s="52"/>
      <c r="K92" s="81">
        <v>3.125E-2</v>
      </c>
      <c r="L92" s="52"/>
      <c r="M92" s="82">
        <v>3.125E-2</v>
      </c>
      <c r="N92" s="51"/>
      <c r="O92" s="81"/>
      <c r="P92" s="51"/>
      <c r="Q92" s="82"/>
      <c r="R92" s="51"/>
      <c r="S92" s="53">
        <f>IF(SUM(F92:R92)=0,"",SUM(F92:R92))</f>
        <v>0.125</v>
      </c>
    </row>
    <row r="93" spans="2:19" ht="15" customHeight="1" thickBot="1" x14ac:dyDescent="0.3">
      <c r="C93" s="54"/>
      <c r="D93" s="55" t="str">
        <f>B$4</f>
        <v>Mayor</v>
      </c>
      <c r="E93" s="56">
        <f>SUMIFS(Journal!$D$6:$D$9992,Journal!$B$6:$B$9992,E$5,Journal!$C$6:$C$9992,$C92)</f>
        <v>3.125E-2</v>
      </c>
      <c r="F93" s="57"/>
      <c r="G93" s="56">
        <f>SUMIFS(Journal!$D$6:$D$9992,Journal!$B$6:$B$9992,G$5,Journal!$C$6:$C$9992,$C92)</f>
        <v>3.125E-2</v>
      </c>
      <c r="H93" s="57"/>
      <c r="I93" s="56">
        <f>SUMIFS(Journal!$D$6:$D$9992,Journal!$B$6:$B$9992,I$5,Journal!$C$6:$C$9992,$C92)</f>
        <v>3.125E-2</v>
      </c>
      <c r="J93" s="58"/>
      <c r="K93" s="56">
        <f>SUMIFS(Journal!$D$6:$D$9992,Journal!$B$6:$B$9992,K$5,Journal!$C$6:$C$9992,$C92)</f>
        <v>0</v>
      </c>
      <c r="L93" s="58"/>
      <c r="M93" s="56">
        <f>SUMIFS(Journal!$D$6:$D$9992,Journal!$B$6:$B$9992,M$5,Journal!$C$6:$C$9992,$C92)</f>
        <v>0</v>
      </c>
      <c r="N93" s="57"/>
      <c r="O93" s="56">
        <f>SUMIFS(Journal!$D$6:$D$9992,Journal!$B$6:$B$9992,O$5,Journal!$C$6:$C$9992,$C92)</f>
        <v>0</v>
      </c>
      <c r="P93" s="57"/>
      <c r="Q93" s="56">
        <f>SUMIFS(Journal!$D$6:$D$9992,Journal!$B$6:$B$9992,Q$5,Journal!$C$6:$C$9992,$C92)</f>
        <v>0</v>
      </c>
      <c r="R93" s="57"/>
      <c r="S93" s="59">
        <f t="shared" ref="S93:S101" si="72">IF(SUM(E93:R93)=0,"",SUM(E93:R93))</f>
        <v>9.375E-2</v>
      </c>
    </row>
    <row r="94" spans="2:19" ht="15" customHeight="1" x14ac:dyDescent="0.25">
      <c r="C94" s="7" t="str">
        <f>Base!G44</f>
        <v>5.3 Préparation présentation</v>
      </c>
      <c r="D94" s="50" t="str">
        <f>B$3</f>
        <v>Prévu</v>
      </c>
      <c r="E94" s="80"/>
      <c r="F94" s="51"/>
      <c r="G94" s="80"/>
      <c r="H94" s="51"/>
      <c r="I94" s="80"/>
      <c r="J94" s="52"/>
      <c r="K94" s="81"/>
      <c r="L94" s="52"/>
      <c r="M94" s="82"/>
      <c r="N94" s="51"/>
      <c r="O94" s="81"/>
      <c r="P94" s="51"/>
      <c r="Q94" s="82"/>
      <c r="R94" s="51"/>
      <c r="S94" s="53" t="str">
        <f t="shared" si="72"/>
        <v/>
      </c>
    </row>
    <row r="95" spans="2:19" ht="15" customHeight="1" thickBot="1" x14ac:dyDescent="0.3">
      <c r="C95" s="54"/>
      <c r="D95" s="55" t="str">
        <f>B$4</f>
        <v>Mayor</v>
      </c>
      <c r="E95" s="56">
        <f>SUMIFS(Journal!$D$6:$D$9992,Journal!$B$6:$B$9992,E$5,Journal!$C$6:$C$9992,$C94)</f>
        <v>0</v>
      </c>
      <c r="F95" s="57"/>
      <c r="G95" s="56">
        <f>SUMIFS(Journal!$D$6:$D$9992,Journal!$B$6:$B$9992,G$5,Journal!$C$6:$C$9992,$C94)</f>
        <v>0</v>
      </c>
      <c r="H95" s="57"/>
      <c r="I95" s="56">
        <f>SUMIFS(Journal!$D$6:$D$9992,Journal!$B$6:$B$9992,I$5,Journal!$C$6:$C$9992,$C94)</f>
        <v>0</v>
      </c>
      <c r="J95" s="58"/>
      <c r="K95" s="56">
        <f>SUMIFS(Journal!$D$6:$D$9992,Journal!$B$6:$B$9992,K$5,Journal!$C$6:$C$9992,$C94)</f>
        <v>0</v>
      </c>
      <c r="L95" s="58"/>
      <c r="M95" s="56">
        <f>SUMIFS(Journal!$D$6:$D$9992,Journal!$B$6:$B$9992,M$5,Journal!$C$6:$C$9992,$C94)</f>
        <v>0</v>
      </c>
      <c r="N95" s="57"/>
      <c r="O95" s="56">
        <f>SUMIFS(Journal!$D$6:$D$9992,Journal!$B$6:$B$9992,O$5,Journal!$C$6:$C$9992,$C94)</f>
        <v>0</v>
      </c>
      <c r="P95" s="57"/>
      <c r="Q95" s="56">
        <f>SUMIFS(Journal!$D$6:$D$9992,Journal!$B$6:$B$9992,Q$5,Journal!$C$6:$C$9992,$C94)</f>
        <v>0</v>
      </c>
      <c r="R95" s="57"/>
      <c r="S95" s="59" t="str">
        <f t="shared" si="72"/>
        <v/>
      </c>
    </row>
    <row r="96" spans="2:19" ht="15" customHeight="1" x14ac:dyDescent="0.25">
      <c r="C96" s="7" t="str">
        <f>Base!G45</f>
        <v>5.4 Maladie</v>
      </c>
      <c r="D96" s="50" t="str">
        <f>B$3</f>
        <v>Prévu</v>
      </c>
      <c r="E96" s="80"/>
      <c r="F96" s="51"/>
      <c r="G96" s="80"/>
      <c r="H96" s="51"/>
      <c r="I96" s="80"/>
      <c r="J96" s="52"/>
      <c r="K96" s="81"/>
      <c r="L96" s="52"/>
      <c r="M96" s="82"/>
      <c r="N96" s="51"/>
      <c r="O96" s="81"/>
      <c r="P96" s="51"/>
      <c r="Q96" s="82"/>
      <c r="R96" s="51"/>
      <c r="S96" s="53" t="str">
        <f t="shared" si="72"/>
        <v/>
      </c>
    </row>
    <row r="97" spans="3:19" ht="15" customHeight="1" thickBot="1" x14ac:dyDescent="0.3">
      <c r="C97" s="54"/>
      <c r="D97" s="55" t="str">
        <f>B$4</f>
        <v>Mayor</v>
      </c>
      <c r="E97" s="56">
        <f>SUMIFS(Journal!$D$6:$D$9992,Journal!$B$6:$B$9992,E$5,Journal!$C$6:$C$9992,$C96)</f>
        <v>0</v>
      </c>
      <c r="F97" s="57"/>
      <c r="G97" s="56">
        <f>SUMIFS(Journal!$D$6:$D$9992,Journal!$B$6:$B$9992,G$5,Journal!$C$6:$C$9992,$C96)</f>
        <v>0</v>
      </c>
      <c r="H97" s="57"/>
      <c r="I97" s="56">
        <f>SUMIFS(Journal!$D$6:$D$9992,Journal!$B$6:$B$9992,I$5,Journal!$C$6:$C$9992,$C96)</f>
        <v>0</v>
      </c>
      <c r="J97" s="58"/>
      <c r="K97" s="56">
        <f>SUMIFS(Journal!$D$6:$D$9992,Journal!$B$6:$B$9992,K$5,Journal!$C$6:$C$9992,$C96)</f>
        <v>0</v>
      </c>
      <c r="L97" s="58"/>
      <c r="M97" s="56">
        <f>SUMIFS(Journal!$D$6:$D$9992,Journal!$B$6:$B$9992,M$5,Journal!$C$6:$C$9992,$C96)</f>
        <v>0</v>
      </c>
      <c r="N97" s="57"/>
      <c r="O97" s="56">
        <f>SUMIFS(Journal!$D$6:$D$9992,Journal!$B$6:$B$9992,O$5,Journal!$C$6:$C$9992,$C96)</f>
        <v>0</v>
      </c>
      <c r="P97" s="57"/>
      <c r="Q97" s="56">
        <f>SUMIFS(Journal!$D$6:$D$9992,Journal!$B$6:$B$9992,Q$5,Journal!$C$6:$C$9992,$C96)</f>
        <v>0</v>
      </c>
      <c r="R97" s="57"/>
      <c r="S97" s="59" t="str">
        <f t="shared" si="72"/>
        <v/>
      </c>
    </row>
    <row r="98" spans="3:19" ht="15" customHeight="1" x14ac:dyDescent="0.25">
      <c r="C98" s="7" t="str">
        <f>Base!G46</f>
        <v>5.5 Administratif</v>
      </c>
      <c r="D98" s="50" t="str">
        <f>B$3</f>
        <v>Prévu</v>
      </c>
      <c r="E98" s="80"/>
      <c r="F98" s="51"/>
      <c r="G98" s="80"/>
      <c r="H98" s="51"/>
      <c r="I98" s="80"/>
      <c r="J98" s="52"/>
      <c r="K98" s="81"/>
      <c r="L98" s="52"/>
      <c r="M98" s="82"/>
      <c r="N98" s="51"/>
      <c r="O98" s="81"/>
      <c r="P98" s="51"/>
      <c r="Q98" s="82"/>
      <c r="R98" s="51"/>
      <c r="S98" s="53" t="str">
        <f t="shared" si="72"/>
        <v/>
      </c>
    </row>
    <row r="99" spans="3:19" ht="15" customHeight="1" thickBot="1" x14ac:dyDescent="0.3">
      <c r="C99" s="54"/>
      <c r="D99" s="55" t="str">
        <f>B$4</f>
        <v>Mayor</v>
      </c>
      <c r="E99" s="56">
        <f>SUMIFS(Journal!$D$6:$D$9992,Journal!$B$6:$B$9992,E$5,Journal!$C$6:$C$9992,$C98)</f>
        <v>8.3333333333333329E-2</v>
      </c>
      <c r="F99" s="57"/>
      <c r="G99" s="56">
        <f>SUMIFS(Journal!$D$6:$D$9992,Journal!$B$6:$B$9992,G$5,Journal!$C$6:$C$9992,$C98)</f>
        <v>4.1666666666666664E-2</v>
      </c>
      <c r="H99" s="57"/>
      <c r="I99" s="56">
        <f>SUMIFS(Journal!$D$6:$D$9992,Journal!$B$6:$B$9992,I$5,Journal!$C$6:$C$9992,$C98)</f>
        <v>0</v>
      </c>
      <c r="J99" s="58"/>
      <c r="K99" s="56">
        <f>SUMIFS(Journal!$D$6:$D$9992,Journal!$B$6:$B$9992,K$5,Journal!$C$6:$C$9992,$C98)</f>
        <v>0</v>
      </c>
      <c r="L99" s="58"/>
      <c r="M99" s="56">
        <f>SUMIFS(Journal!$D$6:$D$9992,Journal!$B$6:$B$9992,M$5,Journal!$C$6:$C$9992,$C98)</f>
        <v>0</v>
      </c>
      <c r="N99" s="57"/>
      <c r="O99" s="56">
        <f>SUMIFS(Journal!$D$6:$D$9992,Journal!$B$6:$B$9992,O$5,Journal!$C$6:$C$9992,$C98)</f>
        <v>0</v>
      </c>
      <c r="P99" s="57"/>
      <c r="Q99" s="56">
        <f>SUMIFS(Journal!$D$6:$D$9992,Journal!$B$6:$B$9992,Q$5,Journal!$C$6:$C$9992,$C98)</f>
        <v>0</v>
      </c>
      <c r="R99" s="57"/>
      <c r="S99" s="59">
        <f t="shared" si="72"/>
        <v>0.125</v>
      </c>
    </row>
    <row r="100" spans="3:19" x14ac:dyDescent="0.25">
      <c r="C100" s="7" t="str">
        <f>Base!G47</f>
        <v>5.6 Temps flexible</v>
      </c>
      <c r="D100" s="50" t="s">
        <v>6</v>
      </c>
      <c r="E100" s="80"/>
      <c r="F100" s="51"/>
      <c r="G100" s="80"/>
      <c r="H100" s="51"/>
      <c r="I100" s="80"/>
      <c r="J100" s="52"/>
      <c r="K100" s="81"/>
      <c r="L100" s="52"/>
      <c r="M100" s="82"/>
      <c r="N100" s="51"/>
      <c r="O100" s="81"/>
      <c r="P100" s="51"/>
      <c r="Q100" s="82"/>
      <c r="R100" s="51"/>
      <c r="S100" s="53" t="str">
        <f t="shared" si="72"/>
        <v/>
      </c>
    </row>
    <row r="101" spans="3:19" x14ac:dyDescent="0.25">
      <c r="C101" s="54"/>
      <c r="D101" s="55" t="s">
        <v>19</v>
      </c>
      <c r="E101" s="56">
        <f>SUMIFS(Journal!$D$5:$D$9992,Journal!$B$5:$B$9992,E$5,Journal!$C$5:$C$9992,$C100)</f>
        <v>0</v>
      </c>
      <c r="F101" s="57"/>
      <c r="G101" s="56">
        <f>SUMIFS(Journal!$D$6:$D$9992,Journal!$B$6:$B$9992,G$5,Journal!$C$6:$C$9992,$C100)</f>
        <v>8.3333333333333329E-2</v>
      </c>
      <c r="H101" s="57"/>
      <c r="I101" s="56">
        <f>SUMIFS(Journal!$D$6:$D$9992,Journal!$B$6:$B$9992,I$5,Journal!$C$6:$C$9992,$C100)</f>
        <v>0.16666666666666666</v>
      </c>
      <c r="J101" s="58"/>
      <c r="K101" s="56">
        <f>SUMIFS(Journal!$D$6:$D$9992,Journal!$B$6:$B$9992,K$5,Journal!$C$6:$C$9992,$C100)</f>
        <v>0</v>
      </c>
      <c r="L101" s="58"/>
      <c r="M101" s="56">
        <f>SUMIFS(Journal!$D$6:$D$9992,Journal!$B$6:$B$9992,M$5,Journal!$C$6:$C$9992,$C100)</f>
        <v>0</v>
      </c>
      <c r="N101" s="57"/>
      <c r="O101" s="56">
        <f>SUMIFS(Journal!$D$6:$D$9992,Journal!$B$6:$B$9992,O$5,Journal!$C$6:$C$9992,$C100)</f>
        <v>0</v>
      </c>
      <c r="P101" s="57"/>
      <c r="Q101" s="56">
        <f>SUMIFS(Journal!$D$6:$D$9992,Journal!$B$6:$B$9992,Q$5,Journal!$C$6:$C$9992,$C100)</f>
        <v>0</v>
      </c>
      <c r="R101" s="57"/>
      <c r="S101" s="59">
        <f t="shared" si="72"/>
        <v>0.25</v>
      </c>
    </row>
  </sheetData>
  <sheetProtection selectLockedCells="1"/>
  <conditionalFormatting sqref="C3">
    <cfRule type="colorScale" priority="1192">
      <colorScale>
        <cfvo type="num" val="1"/>
        <cfvo type="num" val="100000"/>
        <color theme="0" tint="-0.14999847407452621"/>
        <color theme="0" tint="-0.14999847407452621"/>
      </colorScale>
    </cfRule>
  </conditionalFormatting>
  <conditionalFormatting sqref="F4 H4 J4 L4 N4 P4 R4">
    <cfRule type="cellIs" dxfId="35" priority="1183" stopIfTrue="1" operator="greaterThan">
      <formula>0</formula>
    </cfRule>
  </conditionalFormatting>
  <conditionalFormatting sqref="E3">
    <cfRule type="colorScale" priority="1096">
      <colorScale>
        <cfvo type="num" val="1"/>
        <cfvo type="num" val="100000"/>
        <color theme="0" tint="-0.14999847407452621"/>
        <color theme="0" tint="-0.14999847407452621"/>
      </colorScale>
    </cfRule>
  </conditionalFormatting>
  <conditionalFormatting sqref="E4">
    <cfRule type="cellIs" dxfId="34" priority="1094" stopIfTrue="1" operator="greaterThan">
      <formula>0</formula>
    </cfRule>
  </conditionalFormatting>
  <conditionalFormatting sqref="E8:R8 E14:R14">
    <cfRule type="cellIs" dxfId="33" priority="586" operator="greaterThan">
      <formula>0</formula>
    </cfRule>
  </conditionalFormatting>
  <conditionalFormatting sqref="E9:R9 E11:R11 E13:R13 E15:R15">
    <cfRule type="cellIs" dxfId="32" priority="574" operator="greaterThan">
      <formula>0</formula>
    </cfRule>
  </conditionalFormatting>
  <conditionalFormatting sqref="G3">
    <cfRule type="colorScale" priority="365">
      <colorScale>
        <cfvo type="num" val="1"/>
        <cfvo type="num" val="100000"/>
        <color theme="0" tint="-0.14999847407452621"/>
        <color theme="0" tint="-0.14999847407452621"/>
      </colorScale>
    </cfRule>
  </conditionalFormatting>
  <conditionalFormatting sqref="G4">
    <cfRule type="cellIs" dxfId="31" priority="364" stopIfTrue="1" operator="greaterThan">
      <formula>0</formula>
    </cfRule>
  </conditionalFormatting>
  <conditionalFormatting sqref="I3">
    <cfRule type="colorScale" priority="362">
      <colorScale>
        <cfvo type="num" val="1"/>
        <cfvo type="num" val="100000"/>
        <color theme="0" tint="-0.14999847407452621"/>
        <color theme="0" tint="-0.14999847407452621"/>
      </colorScale>
    </cfRule>
  </conditionalFormatting>
  <conditionalFormatting sqref="I4">
    <cfRule type="cellIs" dxfId="30" priority="361" stopIfTrue="1" operator="greaterThan">
      <formula>0</formula>
    </cfRule>
  </conditionalFormatting>
  <conditionalFormatting sqref="K3">
    <cfRule type="colorScale" priority="359">
      <colorScale>
        <cfvo type="num" val="1"/>
        <cfvo type="num" val="100000"/>
        <color theme="0" tint="-0.14999847407452621"/>
        <color theme="0" tint="-0.14999847407452621"/>
      </colorScale>
    </cfRule>
  </conditionalFormatting>
  <conditionalFormatting sqref="K4">
    <cfRule type="cellIs" dxfId="29" priority="358" stopIfTrue="1" operator="greaterThan">
      <formula>0</formula>
    </cfRule>
  </conditionalFormatting>
  <conditionalFormatting sqref="M3">
    <cfRule type="colorScale" priority="356">
      <colorScale>
        <cfvo type="num" val="1"/>
        <cfvo type="num" val="100000"/>
        <color theme="0" tint="-0.14999847407452621"/>
        <color theme="0" tint="-0.14999847407452621"/>
      </colorScale>
    </cfRule>
  </conditionalFormatting>
  <conditionalFormatting sqref="M4">
    <cfRule type="cellIs" dxfId="28" priority="355" stopIfTrue="1" operator="greaterThan">
      <formula>0</formula>
    </cfRule>
  </conditionalFormatting>
  <conditionalFormatting sqref="O3">
    <cfRule type="colorScale" priority="353">
      <colorScale>
        <cfvo type="num" val="1"/>
        <cfvo type="num" val="100000"/>
        <color theme="0" tint="-0.14999847407452621"/>
        <color theme="0" tint="-0.14999847407452621"/>
      </colorScale>
    </cfRule>
  </conditionalFormatting>
  <conditionalFormatting sqref="O4">
    <cfRule type="cellIs" dxfId="27" priority="352" stopIfTrue="1" operator="greaterThan">
      <formula>0</formula>
    </cfRule>
  </conditionalFormatting>
  <conditionalFormatting sqref="Q3">
    <cfRule type="colorScale" priority="350">
      <colorScale>
        <cfvo type="num" val="1"/>
        <cfvo type="num" val="100000"/>
        <color theme="0" tint="-0.14999847407452621"/>
        <color theme="0" tint="-0.14999847407452621"/>
      </colorScale>
    </cfRule>
  </conditionalFormatting>
  <conditionalFormatting sqref="Q4">
    <cfRule type="cellIs" dxfId="26" priority="349" stopIfTrue="1" operator="greaterThan">
      <formula>0</formula>
    </cfRule>
  </conditionalFormatting>
  <conditionalFormatting sqref="S8 S10 S12 S14">
    <cfRule type="cellIs" dxfId="25" priority="158" operator="greaterThan">
      <formula>0</formula>
    </cfRule>
  </conditionalFormatting>
  <conditionalFormatting sqref="S9 S11 S13 S15">
    <cfRule type="cellIs" dxfId="24" priority="157" operator="greaterThan">
      <formula>0</formula>
    </cfRule>
  </conditionalFormatting>
  <conditionalFormatting sqref="S98 S96 S94 S92 S90 S68 S66 S64 S62 S60 S50 S48 S46 S44 S20 S16 S52 S54 S22 S24 S26 S28 S30 S32 S34 S36 S38 S40 S56 S70 S72 S74 S76 S78 S80 S82 S84 S86 S100">
    <cfRule type="cellIs" dxfId="23" priority="106" operator="greaterThan">
      <formula>0</formula>
    </cfRule>
  </conditionalFormatting>
  <conditionalFormatting sqref="S99 S97 S95 S93 S91 S69 S67 S65 S63 S61 S51 S49 S47 S45 S21 S17 S53 S55 S23 S25 S27 S29 S31 S33 S35 S37 S39 S41 S57 S71 S73 S75 S77 S79 S81 S83 S85 S87 S101">
    <cfRule type="cellIs" dxfId="22" priority="105" operator="greaterThan">
      <formula>0</formula>
    </cfRule>
  </conditionalFormatting>
  <conditionalFormatting sqref="E17:R17">
    <cfRule type="cellIs" dxfId="21" priority="65" operator="greaterThan">
      <formula>0</formula>
    </cfRule>
  </conditionalFormatting>
  <conditionalFormatting sqref="E10:R10">
    <cfRule type="cellIs" dxfId="20" priority="55" operator="greaterThan">
      <formula>0</formula>
    </cfRule>
  </conditionalFormatting>
  <conditionalFormatting sqref="E12:R12">
    <cfRule type="cellIs" dxfId="19" priority="54" operator="greaterThan">
      <formula>0</formula>
    </cfRule>
  </conditionalFormatting>
  <conditionalFormatting sqref="E16:R16">
    <cfRule type="cellIs" dxfId="18" priority="53" operator="greaterThan">
      <formula>0</formula>
    </cfRule>
  </conditionalFormatting>
  <conditionalFormatting sqref="E20:R20 E22:R22 E24:R24 E26:R26 E28:R28 E30:R30 E32:R32 E34:R34 E36:R36 E38:R38 E40:R40">
    <cfRule type="cellIs" dxfId="17" priority="28" operator="greaterThan">
      <formula>0</formula>
    </cfRule>
  </conditionalFormatting>
  <conditionalFormatting sqref="E21:R21 E23:R23 E25:R25 E27:R27 E29:R29 E31:R31 E33:R33 E35:R35 E37:R37 E39:R39 E41:R41">
    <cfRule type="cellIs" dxfId="16" priority="27" operator="greaterThan">
      <formula>0</formula>
    </cfRule>
  </conditionalFormatting>
  <conditionalFormatting sqref="E44:R44 E50:R50 E52:R52 E54:R54 E56:R56">
    <cfRule type="cellIs" dxfId="15" priority="22" operator="greaterThan">
      <formula>0</formula>
    </cfRule>
  </conditionalFormatting>
  <conditionalFormatting sqref="E45:R45 E47:R47 E49:R49 E51:R51 E53:R53 E55:R55 E57:R57">
    <cfRule type="cellIs" dxfId="14" priority="21" operator="greaterThan">
      <formula>0</formula>
    </cfRule>
  </conditionalFormatting>
  <conditionalFormatting sqref="E46:R46">
    <cfRule type="cellIs" dxfId="13" priority="19" operator="greaterThan">
      <formula>0</formula>
    </cfRule>
  </conditionalFormatting>
  <conditionalFormatting sqref="E48:R48">
    <cfRule type="cellIs" dxfId="12" priority="18" operator="greaterThan">
      <formula>0</formula>
    </cfRule>
  </conditionalFormatting>
  <conditionalFormatting sqref="E60:R60 E66:R66">
    <cfRule type="cellIs" dxfId="11" priority="16" operator="greaterThan">
      <formula>0</formula>
    </cfRule>
  </conditionalFormatting>
  <conditionalFormatting sqref="E61:R61 E63:R63 E65:R65 E67:R67">
    <cfRule type="cellIs" dxfId="10" priority="15" operator="greaterThan">
      <formula>0</formula>
    </cfRule>
  </conditionalFormatting>
  <conditionalFormatting sqref="E69:R69 E71:R71 E73:R73 E75:R75 E77:R77 E79:R79 E81:R81 E83:R83 E85:R85 E87:R87">
    <cfRule type="cellIs" dxfId="9" priority="14" operator="greaterThan">
      <formula>0</formula>
    </cfRule>
  </conditionalFormatting>
  <conditionalFormatting sqref="E62:R62">
    <cfRule type="cellIs" dxfId="8" priority="13" operator="greaterThan">
      <formula>0</formula>
    </cfRule>
  </conditionalFormatting>
  <conditionalFormatting sqref="E64:R64">
    <cfRule type="cellIs" dxfId="7" priority="12" operator="greaterThan">
      <formula>0</formula>
    </cfRule>
  </conditionalFormatting>
  <conditionalFormatting sqref="E68:R68 E70:R70 E72:R72 E74:R74 E76:R76 E78:R78 E80:R80 E82:R82 E84:R84 E86:R86">
    <cfRule type="cellIs" dxfId="6" priority="11" operator="greaterThan">
      <formula>0</formula>
    </cfRule>
  </conditionalFormatting>
  <conditionalFormatting sqref="E90:R90 E96:R96">
    <cfRule type="cellIs" dxfId="5" priority="10" operator="greaterThan">
      <formula>0</formula>
    </cfRule>
  </conditionalFormatting>
  <conditionalFormatting sqref="E91:R91 E93:R93 E95:R95 E97:R97">
    <cfRule type="cellIs" dxfId="4" priority="9" operator="greaterThan">
      <formula>0</formula>
    </cfRule>
  </conditionalFormatting>
  <conditionalFormatting sqref="E99:R99 E101:R101">
    <cfRule type="cellIs" dxfId="3" priority="8" operator="greaterThan">
      <formula>0</formula>
    </cfRule>
  </conditionalFormatting>
  <conditionalFormatting sqref="E92:R92">
    <cfRule type="cellIs" dxfId="2" priority="7" operator="greaterThan">
      <formula>0</formula>
    </cfRule>
  </conditionalFormatting>
  <conditionalFormatting sqref="E94:R94">
    <cfRule type="cellIs" dxfId="1" priority="6" operator="greaterThan">
      <formula>0</formula>
    </cfRule>
  </conditionalFormatting>
  <conditionalFormatting sqref="E98:R98 E100:R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I752"/>
  <sheetViews>
    <sheetView tabSelected="1" workbookViewId="0">
      <pane ySplit="3" topLeftCell="A73" activePane="bottomLeft" state="frozen"/>
      <selection pane="bottomLeft" activeCell="A3" sqref="A3:E75"/>
    </sheetView>
  </sheetViews>
  <sheetFormatPr baseColWidth="10" defaultRowHeight="11.25" x14ac:dyDescent="0.2"/>
  <cols>
    <col min="1" max="1" width="9" style="88" bestFit="1" customWidth="1"/>
    <col min="2" max="2" width="3.85546875" style="88" bestFit="1" customWidth="1"/>
    <col min="3" max="3" width="36.7109375" style="88" customWidth="1"/>
    <col min="4" max="4" width="5.7109375" style="88" bestFit="1" customWidth="1"/>
    <col min="5" max="5" width="33.42578125" style="88" customWidth="1"/>
    <col min="6" max="16384" width="11.42578125" style="88"/>
  </cols>
  <sheetData>
    <row r="1" spans="1:7" x14ac:dyDescent="0.2">
      <c r="A1" s="84" t="s">
        <v>7</v>
      </c>
      <c r="B1" s="84"/>
      <c r="C1" s="85" t="str">
        <f>CONCATENATE(Base!C5," ",Base!D5)</f>
        <v>Mayor Damien</v>
      </c>
      <c r="D1" s="86"/>
      <c r="E1" s="87">
        <f ca="1">TODAY()</f>
        <v>45077</v>
      </c>
    </row>
    <row r="2" spans="1:7" ht="12" thickBot="1" x14ac:dyDescent="0.25">
      <c r="A2" s="85" t="s">
        <v>14</v>
      </c>
      <c r="B2" s="86"/>
      <c r="C2" s="86"/>
      <c r="D2" s="86"/>
      <c r="E2" s="89"/>
    </row>
    <row r="3" spans="1:7" ht="12" thickBot="1" x14ac:dyDescent="0.25">
      <c r="A3" s="102" t="s">
        <v>1</v>
      </c>
      <c r="B3" s="103" t="s">
        <v>4</v>
      </c>
      <c r="C3" s="103" t="s">
        <v>8</v>
      </c>
      <c r="D3" s="103" t="s">
        <v>2</v>
      </c>
      <c r="E3" s="104" t="s">
        <v>3</v>
      </c>
    </row>
    <row r="4" spans="1:7" ht="0.75" customHeight="1" x14ac:dyDescent="0.2">
      <c r="A4" s="126"/>
      <c r="B4" s="127"/>
      <c r="C4" s="127"/>
      <c r="D4" s="127"/>
      <c r="E4" s="128"/>
    </row>
    <row r="5" spans="1:7" x14ac:dyDescent="0.2">
      <c r="A5" s="129">
        <v>45048</v>
      </c>
      <c r="B5" s="91">
        <f>WEEKNUM(A5,1)</f>
        <v>18</v>
      </c>
      <c r="C5" s="118" t="s">
        <v>70</v>
      </c>
      <c r="D5" s="92">
        <v>4.1666666666666664E-2</v>
      </c>
      <c r="E5" s="130" t="s">
        <v>72</v>
      </c>
    </row>
    <row r="6" spans="1:7" x14ac:dyDescent="0.2">
      <c r="A6" s="129">
        <v>45048</v>
      </c>
      <c r="B6" s="91">
        <f>WEEKNUM(A6,1)</f>
        <v>18</v>
      </c>
      <c r="C6" s="118" t="s">
        <v>30</v>
      </c>
      <c r="D6" s="92">
        <v>4.1666666666666664E-2</v>
      </c>
      <c r="E6" s="130" t="s">
        <v>68</v>
      </c>
    </row>
    <row r="7" spans="1:7" x14ac:dyDescent="0.2">
      <c r="A7" s="129">
        <v>45048</v>
      </c>
      <c r="B7" s="91">
        <f>WEEKNUM(A7,1)</f>
        <v>18</v>
      </c>
      <c r="C7" s="118" t="s">
        <v>70</v>
      </c>
      <c r="D7" s="92">
        <v>4.1666666666666664E-2</v>
      </c>
      <c r="E7" s="130" t="s">
        <v>71</v>
      </c>
    </row>
    <row r="8" spans="1:7" x14ac:dyDescent="0.2">
      <c r="A8" s="129">
        <v>45048</v>
      </c>
      <c r="B8" s="91">
        <f>WEEKNUM(A8,1)</f>
        <v>18</v>
      </c>
      <c r="C8" s="118" t="s">
        <v>25</v>
      </c>
      <c r="D8" s="92">
        <v>0.17361111111111113</v>
      </c>
      <c r="E8" s="130" t="s">
        <v>69</v>
      </c>
    </row>
    <row r="9" spans="1:7" ht="33.75" x14ac:dyDescent="0.2">
      <c r="A9" s="129">
        <v>45049</v>
      </c>
      <c r="B9" s="91">
        <f t="shared" ref="B9:B66" si="0">WEEKNUM(A9,1)</f>
        <v>18</v>
      </c>
      <c r="C9" s="118" t="s">
        <v>31</v>
      </c>
      <c r="D9" s="92">
        <v>2.0833333333333332E-2</v>
      </c>
      <c r="E9" s="130" t="s">
        <v>73</v>
      </c>
    </row>
    <row r="10" spans="1:7" x14ac:dyDescent="0.2">
      <c r="A10" s="129">
        <v>45049</v>
      </c>
      <c r="B10" s="91">
        <f t="shared" si="0"/>
        <v>18</v>
      </c>
      <c r="C10" s="118" t="s">
        <v>28</v>
      </c>
      <c r="D10" s="92">
        <v>6.25E-2</v>
      </c>
      <c r="E10" s="130" t="s">
        <v>74</v>
      </c>
      <c r="F10" s="105"/>
      <c r="G10" s="105"/>
    </row>
    <row r="11" spans="1:7" x14ac:dyDescent="0.2">
      <c r="A11" s="129">
        <v>45049</v>
      </c>
      <c r="B11" s="91">
        <f t="shared" si="0"/>
        <v>18</v>
      </c>
      <c r="C11" s="118" t="s">
        <v>26</v>
      </c>
      <c r="D11" s="92">
        <v>4.1666666666666664E-2</v>
      </c>
      <c r="E11" s="130" t="s">
        <v>75</v>
      </c>
      <c r="F11" s="105"/>
      <c r="G11" s="105"/>
    </row>
    <row r="12" spans="1:7" ht="33.75" x14ac:dyDescent="0.2">
      <c r="A12" s="129">
        <v>45049</v>
      </c>
      <c r="B12" s="91">
        <f t="shared" si="0"/>
        <v>18</v>
      </c>
      <c r="C12" s="118" t="s">
        <v>70</v>
      </c>
      <c r="D12" s="92">
        <v>2.0833333333333332E-2</v>
      </c>
      <c r="E12" s="130" t="s">
        <v>76</v>
      </c>
      <c r="F12" s="105"/>
      <c r="G12" s="105"/>
    </row>
    <row r="13" spans="1:7" x14ac:dyDescent="0.2">
      <c r="A13" s="129">
        <v>45049</v>
      </c>
      <c r="B13" s="91">
        <f>WEEKNUM(A13,1)</f>
        <v>18</v>
      </c>
      <c r="C13" s="118" t="s">
        <v>26</v>
      </c>
      <c r="D13" s="92">
        <v>3.125E-2</v>
      </c>
      <c r="E13" s="130" t="s">
        <v>77</v>
      </c>
    </row>
    <row r="14" spans="1:7" x14ac:dyDescent="0.2">
      <c r="A14" s="129">
        <v>45050</v>
      </c>
      <c r="B14" s="91">
        <f t="shared" ref="B14:B16" si="1">WEEKNUM(A14,1)</f>
        <v>18</v>
      </c>
      <c r="C14" s="118" t="s">
        <v>70</v>
      </c>
      <c r="D14" s="92">
        <v>2.0833333333333332E-2</v>
      </c>
      <c r="E14" s="130" t="s">
        <v>78</v>
      </c>
    </row>
    <row r="15" spans="1:7" x14ac:dyDescent="0.2">
      <c r="A15" s="129">
        <v>45050</v>
      </c>
      <c r="B15" s="91">
        <f t="shared" si="1"/>
        <v>18</v>
      </c>
      <c r="C15" s="118" t="s">
        <v>30</v>
      </c>
      <c r="D15" s="92">
        <v>6.25E-2</v>
      </c>
      <c r="E15" s="130" t="s">
        <v>101</v>
      </c>
    </row>
    <row r="16" spans="1:7" x14ac:dyDescent="0.2">
      <c r="A16" s="129">
        <v>45050</v>
      </c>
      <c r="B16" s="91">
        <f t="shared" si="1"/>
        <v>18</v>
      </c>
      <c r="C16" s="118" t="s">
        <v>26</v>
      </c>
      <c r="D16" s="92">
        <v>3.125E-2</v>
      </c>
      <c r="E16" s="130" t="s">
        <v>79</v>
      </c>
    </row>
    <row r="17" spans="1:7" x14ac:dyDescent="0.2">
      <c r="A17" s="129">
        <v>45050</v>
      </c>
      <c r="B17" s="91">
        <f t="shared" si="0"/>
        <v>18</v>
      </c>
      <c r="C17" s="118" t="s">
        <v>26</v>
      </c>
      <c r="D17" s="92">
        <v>6.25E-2</v>
      </c>
      <c r="E17" s="130" t="s">
        <v>80</v>
      </c>
    </row>
    <row r="18" spans="1:7" x14ac:dyDescent="0.2">
      <c r="A18" s="129">
        <v>45050</v>
      </c>
      <c r="B18" s="91">
        <f t="shared" si="0"/>
        <v>18</v>
      </c>
      <c r="C18" s="118" t="s">
        <v>26</v>
      </c>
      <c r="D18" s="92">
        <v>6.25E-2</v>
      </c>
      <c r="E18" s="130" t="s">
        <v>81</v>
      </c>
    </row>
    <row r="19" spans="1:7" x14ac:dyDescent="0.2">
      <c r="A19" s="129">
        <v>45050</v>
      </c>
      <c r="B19" s="91">
        <f t="shared" si="0"/>
        <v>18</v>
      </c>
      <c r="C19" s="118" t="s">
        <v>31</v>
      </c>
      <c r="D19" s="92">
        <v>1.0416666666666666E-2</v>
      </c>
      <c r="E19" s="130" t="s">
        <v>82</v>
      </c>
      <c r="F19" s="105"/>
      <c r="G19" s="105"/>
    </row>
    <row r="20" spans="1:7" ht="22.5" x14ac:dyDescent="0.2">
      <c r="A20" s="129">
        <v>45054</v>
      </c>
      <c r="B20" s="91">
        <f t="shared" si="0"/>
        <v>19</v>
      </c>
      <c r="C20" s="118" t="s">
        <v>28</v>
      </c>
      <c r="D20" s="92">
        <v>2.0833333333333332E-2</v>
      </c>
      <c r="E20" s="130" t="s">
        <v>93</v>
      </c>
      <c r="F20" s="105"/>
    </row>
    <row r="21" spans="1:7" x14ac:dyDescent="0.2">
      <c r="A21" s="129">
        <v>45054</v>
      </c>
      <c r="B21" s="91">
        <f t="shared" si="0"/>
        <v>19</v>
      </c>
      <c r="C21" s="118" t="s">
        <v>34</v>
      </c>
      <c r="D21" s="92">
        <v>8.3333333333333329E-2</v>
      </c>
      <c r="E21" s="130" t="s">
        <v>94</v>
      </c>
    </row>
    <row r="22" spans="1:7" x14ac:dyDescent="0.2">
      <c r="A22" s="129">
        <v>45054</v>
      </c>
      <c r="B22" s="91">
        <f t="shared" si="0"/>
        <v>19</v>
      </c>
      <c r="C22" s="118" t="s">
        <v>42</v>
      </c>
      <c r="D22" s="92">
        <v>2.0833333333333332E-2</v>
      </c>
      <c r="E22" s="130" t="s">
        <v>95</v>
      </c>
    </row>
    <row r="23" spans="1:7" ht="22.5" x14ac:dyDescent="0.2">
      <c r="A23" s="129">
        <v>45054</v>
      </c>
      <c r="B23" s="91">
        <f t="shared" si="0"/>
        <v>19</v>
      </c>
      <c r="C23" s="118" t="s">
        <v>36</v>
      </c>
      <c r="D23" s="92">
        <v>4.1666666666666664E-2</v>
      </c>
      <c r="E23" s="130" t="s">
        <v>96</v>
      </c>
    </row>
    <row r="24" spans="1:7" x14ac:dyDescent="0.2">
      <c r="A24" s="129">
        <v>45054</v>
      </c>
      <c r="B24" s="91">
        <f t="shared" si="0"/>
        <v>19</v>
      </c>
      <c r="C24" s="118" t="s">
        <v>43</v>
      </c>
      <c r="D24" s="92">
        <v>2.0833333333333332E-2</v>
      </c>
      <c r="E24" s="130" t="s">
        <v>103</v>
      </c>
    </row>
    <row r="25" spans="1:7" x14ac:dyDescent="0.2">
      <c r="A25" s="129">
        <v>45054</v>
      </c>
      <c r="B25" s="91">
        <f t="shared" si="0"/>
        <v>19</v>
      </c>
      <c r="C25" s="118" t="s">
        <v>35</v>
      </c>
      <c r="D25" s="92">
        <v>4.1666666666666664E-2</v>
      </c>
      <c r="E25" s="130" t="s">
        <v>97</v>
      </c>
    </row>
    <row r="26" spans="1:7" x14ac:dyDescent="0.2">
      <c r="A26" s="129">
        <v>45055</v>
      </c>
      <c r="B26" s="91">
        <f t="shared" si="0"/>
        <v>19</v>
      </c>
      <c r="C26" s="118" t="s">
        <v>53</v>
      </c>
      <c r="D26" s="92">
        <v>4.1666666666666664E-2</v>
      </c>
      <c r="E26" s="130"/>
    </row>
    <row r="27" spans="1:7" ht="22.5" x14ac:dyDescent="0.2">
      <c r="A27" s="129">
        <v>45055</v>
      </c>
      <c r="B27" s="94">
        <f t="shared" si="0"/>
        <v>19</v>
      </c>
      <c r="C27" s="119" t="s">
        <v>54</v>
      </c>
      <c r="D27" s="96">
        <v>4.1666666666666664E-2</v>
      </c>
      <c r="E27" s="130" t="s">
        <v>96</v>
      </c>
    </row>
    <row r="28" spans="1:7" x14ac:dyDescent="0.2">
      <c r="A28" s="129">
        <v>45055</v>
      </c>
      <c r="B28" s="94">
        <f t="shared" si="0"/>
        <v>19</v>
      </c>
      <c r="C28" s="119" t="s">
        <v>59</v>
      </c>
      <c r="D28" s="96">
        <v>2.0833333333333332E-2</v>
      </c>
      <c r="E28" s="130" t="s">
        <v>95</v>
      </c>
    </row>
    <row r="29" spans="1:7" x14ac:dyDescent="0.2">
      <c r="A29" s="129">
        <v>45055</v>
      </c>
      <c r="B29" s="94">
        <f t="shared" si="0"/>
        <v>19</v>
      </c>
      <c r="C29" s="119" t="s">
        <v>60</v>
      </c>
      <c r="D29" s="96">
        <v>2.0833333333333332E-2</v>
      </c>
      <c r="E29" s="130" t="s">
        <v>95</v>
      </c>
    </row>
    <row r="30" spans="1:7" x14ac:dyDescent="0.2">
      <c r="A30" s="129">
        <v>45055</v>
      </c>
      <c r="B30" s="91">
        <f t="shared" ref="B30:B33" si="2">WEEKNUM(A30,1)</f>
        <v>19</v>
      </c>
      <c r="C30" s="118" t="s">
        <v>70</v>
      </c>
      <c r="D30" s="92">
        <v>2.0833333333333332E-2</v>
      </c>
      <c r="E30" s="130" t="s">
        <v>98</v>
      </c>
    </row>
    <row r="31" spans="1:7" ht="67.5" x14ac:dyDescent="0.2">
      <c r="A31" s="129">
        <v>45055</v>
      </c>
      <c r="B31" s="91">
        <f t="shared" si="2"/>
        <v>19</v>
      </c>
      <c r="C31" s="118" t="s">
        <v>70</v>
      </c>
      <c r="D31" s="92">
        <v>2.0833333333333332E-2</v>
      </c>
      <c r="E31" s="130" t="s">
        <v>99</v>
      </c>
    </row>
    <row r="32" spans="1:7" x14ac:dyDescent="0.2">
      <c r="A32" s="129">
        <v>45055</v>
      </c>
      <c r="B32" s="91">
        <f t="shared" si="2"/>
        <v>19</v>
      </c>
      <c r="C32" s="118" t="s">
        <v>26</v>
      </c>
      <c r="D32" s="92">
        <v>8.3333333333333329E-2</v>
      </c>
      <c r="E32" s="130" t="s">
        <v>100</v>
      </c>
    </row>
    <row r="33" spans="1:5" x14ac:dyDescent="0.2">
      <c r="A33" s="129">
        <v>45055</v>
      </c>
      <c r="B33" s="91">
        <f t="shared" si="2"/>
        <v>19</v>
      </c>
      <c r="C33" s="118" t="s">
        <v>30</v>
      </c>
      <c r="D33" s="92">
        <v>4.1666666666666664E-2</v>
      </c>
      <c r="E33" s="130" t="s">
        <v>102</v>
      </c>
    </row>
    <row r="34" spans="1:5" x14ac:dyDescent="0.2">
      <c r="A34" s="129">
        <v>45055</v>
      </c>
      <c r="B34" s="91">
        <f t="shared" ref="B34" si="3">WEEKNUM(A34,1)</f>
        <v>19</v>
      </c>
      <c r="C34" s="118" t="s">
        <v>31</v>
      </c>
      <c r="D34" s="92">
        <v>6.9444444444444441E-3</v>
      </c>
      <c r="E34" s="130" t="s">
        <v>101</v>
      </c>
    </row>
    <row r="35" spans="1:5" ht="22.5" x14ac:dyDescent="0.2">
      <c r="A35" s="129">
        <v>45056</v>
      </c>
      <c r="B35" s="94">
        <f t="shared" si="0"/>
        <v>19</v>
      </c>
      <c r="C35" s="119" t="s">
        <v>33</v>
      </c>
      <c r="D35" s="96">
        <v>8.3333333333333329E-2</v>
      </c>
      <c r="E35" s="131" t="s">
        <v>107</v>
      </c>
    </row>
    <row r="36" spans="1:5" x14ac:dyDescent="0.2">
      <c r="A36" s="129">
        <v>45056</v>
      </c>
      <c r="B36" s="94">
        <f t="shared" si="0"/>
        <v>19</v>
      </c>
      <c r="C36" s="119" t="s">
        <v>29</v>
      </c>
      <c r="D36" s="96">
        <v>4.1666666666666664E-2</v>
      </c>
      <c r="E36" s="131" t="s">
        <v>108</v>
      </c>
    </row>
    <row r="37" spans="1:5" x14ac:dyDescent="0.2">
      <c r="A37" s="129">
        <v>45056</v>
      </c>
      <c r="B37" s="94">
        <f t="shared" si="0"/>
        <v>19</v>
      </c>
      <c r="C37" s="119" t="s">
        <v>35</v>
      </c>
      <c r="D37" s="96">
        <v>4.1666666666666664E-2</v>
      </c>
      <c r="E37" s="131" t="s">
        <v>109</v>
      </c>
    </row>
    <row r="38" spans="1:5" ht="22.5" x14ac:dyDescent="0.2">
      <c r="A38" s="129">
        <v>45057</v>
      </c>
      <c r="B38" s="94">
        <f t="shared" si="0"/>
        <v>19</v>
      </c>
      <c r="C38" s="119" t="s">
        <v>55</v>
      </c>
      <c r="D38" s="96">
        <v>8.3333333333333329E-2</v>
      </c>
      <c r="E38" s="131" t="s">
        <v>107</v>
      </c>
    </row>
    <row r="39" spans="1:5" x14ac:dyDescent="0.2">
      <c r="A39" s="129">
        <v>45057</v>
      </c>
      <c r="B39" s="94">
        <f t="shared" si="0"/>
        <v>19</v>
      </c>
      <c r="C39" s="119" t="s">
        <v>29</v>
      </c>
      <c r="D39" s="96">
        <v>4.1666666666666664E-2</v>
      </c>
      <c r="E39" s="131" t="s">
        <v>108</v>
      </c>
    </row>
    <row r="40" spans="1:5" x14ac:dyDescent="0.2">
      <c r="A40" s="129">
        <v>45057</v>
      </c>
      <c r="B40" s="94">
        <f t="shared" si="0"/>
        <v>19</v>
      </c>
      <c r="C40" s="119" t="s">
        <v>56</v>
      </c>
      <c r="D40" s="96">
        <v>4.1666666666666664E-2</v>
      </c>
      <c r="E40" s="131" t="s">
        <v>109</v>
      </c>
    </row>
    <row r="41" spans="1:5" ht="67.5" x14ac:dyDescent="0.2">
      <c r="A41" s="129">
        <v>45057</v>
      </c>
      <c r="B41" s="94">
        <f t="shared" si="0"/>
        <v>19</v>
      </c>
      <c r="C41" s="119" t="s">
        <v>67</v>
      </c>
      <c r="D41" s="96">
        <v>4.1666666666666664E-2</v>
      </c>
      <c r="E41" s="131" t="s">
        <v>105</v>
      </c>
    </row>
    <row r="42" spans="1:5" ht="78.75" x14ac:dyDescent="0.2">
      <c r="A42" s="129">
        <v>45057</v>
      </c>
      <c r="B42" s="94">
        <f t="shared" si="0"/>
        <v>19</v>
      </c>
      <c r="C42" s="119" t="s">
        <v>67</v>
      </c>
      <c r="D42" s="96">
        <v>4.1666666666666664E-2</v>
      </c>
      <c r="E42" s="131" t="s">
        <v>106</v>
      </c>
    </row>
    <row r="43" spans="1:5" x14ac:dyDescent="0.2">
      <c r="A43" s="129">
        <v>45057</v>
      </c>
      <c r="B43" s="94">
        <f t="shared" si="0"/>
        <v>19</v>
      </c>
      <c r="C43" s="119" t="s">
        <v>31</v>
      </c>
      <c r="D43" s="96">
        <v>2.4305555555555556E-2</v>
      </c>
      <c r="E43" s="131" t="s">
        <v>101</v>
      </c>
    </row>
    <row r="44" spans="1:5" x14ac:dyDescent="0.2">
      <c r="A44" s="129">
        <v>45057</v>
      </c>
      <c r="B44" s="94">
        <f t="shared" si="0"/>
        <v>19</v>
      </c>
      <c r="C44" s="119" t="s">
        <v>25</v>
      </c>
      <c r="D44" s="96">
        <v>2.4305555555555556E-2</v>
      </c>
      <c r="E44" s="131" t="s">
        <v>104</v>
      </c>
    </row>
    <row r="45" spans="1:5" x14ac:dyDescent="0.2">
      <c r="A45" s="129">
        <v>45061</v>
      </c>
      <c r="B45" s="94">
        <f t="shared" si="0"/>
        <v>20</v>
      </c>
      <c r="C45" s="119" t="s">
        <v>44</v>
      </c>
      <c r="D45" s="96">
        <v>6.25E-2</v>
      </c>
      <c r="E45" s="131"/>
    </row>
    <row r="46" spans="1:5" x14ac:dyDescent="0.2">
      <c r="A46" s="129">
        <v>45061</v>
      </c>
      <c r="B46" s="94">
        <f t="shared" si="0"/>
        <v>20</v>
      </c>
      <c r="C46" s="119" t="s">
        <v>45</v>
      </c>
      <c r="D46" s="96">
        <v>6.25E-2</v>
      </c>
      <c r="E46" s="131"/>
    </row>
    <row r="47" spans="1:5" x14ac:dyDescent="0.2">
      <c r="A47" s="129">
        <v>45061</v>
      </c>
      <c r="B47" s="94">
        <f t="shared" si="0"/>
        <v>20</v>
      </c>
      <c r="C47" s="119" t="s">
        <v>26</v>
      </c>
      <c r="D47" s="96">
        <v>4.1666666666666664E-2</v>
      </c>
      <c r="E47" s="131"/>
    </row>
    <row r="48" spans="1:5" x14ac:dyDescent="0.2">
      <c r="A48" s="129">
        <v>45061</v>
      </c>
      <c r="B48" s="94">
        <f t="shared" si="0"/>
        <v>20</v>
      </c>
      <c r="C48" s="119" t="s">
        <v>66</v>
      </c>
      <c r="D48" s="96">
        <v>6.25E-2</v>
      </c>
      <c r="E48" s="131"/>
    </row>
    <row r="49" spans="1:5" x14ac:dyDescent="0.2">
      <c r="A49" s="129">
        <v>45062</v>
      </c>
      <c r="B49" s="94">
        <f t="shared" si="0"/>
        <v>20</v>
      </c>
      <c r="C49" s="119" t="s">
        <v>27</v>
      </c>
      <c r="D49" s="96">
        <v>4.1666666666666664E-2</v>
      </c>
      <c r="E49" s="131"/>
    </row>
    <row r="50" spans="1:5" x14ac:dyDescent="0.2">
      <c r="A50" s="129">
        <v>45062</v>
      </c>
      <c r="B50" s="94">
        <f t="shared" si="0"/>
        <v>20</v>
      </c>
      <c r="C50" s="119" t="s">
        <v>26</v>
      </c>
      <c r="D50" s="96">
        <v>4.1666666666666664E-2</v>
      </c>
      <c r="E50" s="131"/>
    </row>
    <row r="51" spans="1:5" x14ac:dyDescent="0.2">
      <c r="A51" s="129">
        <v>45062</v>
      </c>
      <c r="B51" s="94">
        <f t="shared" si="0"/>
        <v>20</v>
      </c>
      <c r="C51" s="119" t="s">
        <v>66</v>
      </c>
      <c r="D51" s="96">
        <v>0.10416666666666667</v>
      </c>
      <c r="E51" s="131"/>
    </row>
    <row r="52" spans="1:5" ht="37.5" customHeight="1" x14ac:dyDescent="0.2">
      <c r="A52" s="129">
        <v>45062</v>
      </c>
      <c r="B52" s="94">
        <f t="shared" si="0"/>
        <v>20</v>
      </c>
      <c r="C52" s="119" t="s">
        <v>38</v>
      </c>
      <c r="D52" s="96">
        <v>4.1666666666666664E-2</v>
      </c>
      <c r="E52" s="131" t="s">
        <v>111</v>
      </c>
    </row>
    <row r="53" spans="1:5" x14ac:dyDescent="0.2">
      <c r="A53" s="129">
        <v>45062</v>
      </c>
      <c r="B53" s="94">
        <f t="shared" si="0"/>
        <v>20</v>
      </c>
      <c r="C53" s="119" t="s">
        <v>30</v>
      </c>
      <c r="D53" s="96">
        <v>4.1666666666666664E-2</v>
      </c>
      <c r="E53" s="131" t="s">
        <v>110</v>
      </c>
    </row>
    <row r="54" spans="1:5" x14ac:dyDescent="0.2">
      <c r="A54" s="129">
        <v>45062</v>
      </c>
      <c r="B54" s="94">
        <f t="shared" si="0"/>
        <v>20</v>
      </c>
      <c r="C54" s="119" t="s">
        <v>31</v>
      </c>
      <c r="D54" s="96">
        <v>3.125E-2</v>
      </c>
      <c r="E54" s="131" t="s">
        <v>101</v>
      </c>
    </row>
    <row r="55" spans="1:5" ht="22.5" x14ac:dyDescent="0.2">
      <c r="A55" s="129">
        <v>45063</v>
      </c>
      <c r="B55" s="94">
        <f t="shared" ref="B55" si="4">WEEKNUM(A55,1)</f>
        <v>20</v>
      </c>
      <c r="C55" s="119" t="s">
        <v>67</v>
      </c>
      <c r="D55" s="96">
        <v>0.16666666666666666</v>
      </c>
      <c r="E55" s="131" t="s">
        <v>131</v>
      </c>
    </row>
    <row r="56" spans="1:5" x14ac:dyDescent="0.2">
      <c r="A56" s="132">
        <v>45068</v>
      </c>
      <c r="B56" s="113">
        <f t="shared" si="0"/>
        <v>21</v>
      </c>
      <c r="C56" s="120" t="s">
        <v>70</v>
      </c>
      <c r="D56" s="114"/>
      <c r="E56" s="133" t="s">
        <v>112</v>
      </c>
    </row>
    <row r="57" spans="1:5" x14ac:dyDescent="0.2">
      <c r="A57" s="129">
        <v>45069</v>
      </c>
      <c r="B57" s="94">
        <f t="shared" si="0"/>
        <v>21</v>
      </c>
      <c r="C57" s="119" t="s">
        <v>37</v>
      </c>
      <c r="D57" s="96">
        <v>4.1666666666666664E-2</v>
      </c>
      <c r="E57" s="131" t="s">
        <v>115</v>
      </c>
    </row>
    <row r="58" spans="1:5" x14ac:dyDescent="0.2">
      <c r="A58" s="129">
        <v>45069</v>
      </c>
      <c r="B58" s="94">
        <f t="shared" si="0"/>
        <v>21</v>
      </c>
      <c r="C58" s="119" t="s">
        <v>39</v>
      </c>
      <c r="D58" s="96">
        <v>4.1666666666666664E-2</v>
      </c>
      <c r="E58" s="131" t="s">
        <v>116</v>
      </c>
    </row>
    <row r="59" spans="1:5" x14ac:dyDescent="0.2">
      <c r="A59" s="129">
        <v>45069</v>
      </c>
      <c r="B59" s="94">
        <f t="shared" si="0"/>
        <v>21</v>
      </c>
      <c r="C59" s="119" t="s">
        <v>46</v>
      </c>
      <c r="D59" s="96">
        <v>2.0833333333333332E-2</v>
      </c>
      <c r="E59" s="131" t="s">
        <v>117</v>
      </c>
    </row>
    <row r="60" spans="1:5" ht="78.75" customHeight="1" x14ac:dyDescent="0.2">
      <c r="A60" s="129">
        <v>45069</v>
      </c>
      <c r="B60" s="94">
        <f t="shared" si="0"/>
        <v>21</v>
      </c>
      <c r="C60" s="119" t="s">
        <v>47</v>
      </c>
      <c r="D60" s="96">
        <v>4.1666666666666664E-2</v>
      </c>
      <c r="E60" s="131" t="s">
        <v>118</v>
      </c>
    </row>
    <row r="61" spans="1:5" x14ac:dyDescent="0.2">
      <c r="A61" s="129">
        <v>45069</v>
      </c>
      <c r="B61" s="94">
        <f t="shared" si="0"/>
        <v>21</v>
      </c>
      <c r="C61" s="119" t="s">
        <v>26</v>
      </c>
      <c r="D61" s="96">
        <v>4.1666666666666664E-2</v>
      </c>
      <c r="E61" s="131" t="s">
        <v>113</v>
      </c>
    </row>
    <row r="62" spans="1:5" x14ac:dyDescent="0.2">
      <c r="A62" s="129">
        <v>45069</v>
      </c>
      <c r="B62" s="94">
        <f t="shared" si="0"/>
        <v>21</v>
      </c>
      <c r="C62" s="119" t="s">
        <v>26</v>
      </c>
      <c r="D62" s="96">
        <v>4.1666666666666664E-2</v>
      </c>
      <c r="E62" s="131" t="s">
        <v>114</v>
      </c>
    </row>
    <row r="63" spans="1:5" ht="56.25" x14ac:dyDescent="0.2">
      <c r="A63" s="129">
        <v>45069</v>
      </c>
      <c r="B63" s="94">
        <f t="shared" si="0"/>
        <v>21</v>
      </c>
      <c r="C63" s="119" t="s">
        <v>30</v>
      </c>
      <c r="D63" s="96">
        <v>6.9444444444444434E-2</v>
      </c>
      <c r="E63" s="131" t="s">
        <v>119</v>
      </c>
    </row>
    <row r="64" spans="1:5" ht="22.5" x14ac:dyDescent="0.2">
      <c r="A64" s="129">
        <v>45070</v>
      </c>
      <c r="B64" s="94">
        <f t="shared" si="0"/>
        <v>21</v>
      </c>
      <c r="C64" s="119" t="s">
        <v>66</v>
      </c>
      <c r="D64" s="96">
        <v>4.1666666666666664E-2</v>
      </c>
      <c r="E64" s="131" t="s">
        <v>120</v>
      </c>
    </row>
    <row r="65" spans="1:5" ht="33.75" x14ac:dyDescent="0.2">
      <c r="A65" s="129">
        <v>45070</v>
      </c>
      <c r="B65" s="94">
        <f t="shared" si="0"/>
        <v>21</v>
      </c>
      <c r="C65" s="119" t="s">
        <v>30</v>
      </c>
      <c r="D65" s="96">
        <v>0.125</v>
      </c>
      <c r="E65" s="131" t="s">
        <v>121</v>
      </c>
    </row>
    <row r="66" spans="1:5" ht="22.5" x14ac:dyDescent="0.2">
      <c r="A66" s="129">
        <v>45071</v>
      </c>
      <c r="B66" s="94">
        <f t="shared" si="0"/>
        <v>21</v>
      </c>
      <c r="C66" s="119" t="s">
        <v>52</v>
      </c>
      <c r="D66" s="96">
        <v>4.1666666666666664E-2</v>
      </c>
      <c r="E66" s="131" t="s">
        <v>122</v>
      </c>
    </row>
    <row r="67" spans="1:5" ht="33.75" x14ac:dyDescent="0.2">
      <c r="A67" s="129">
        <v>45071</v>
      </c>
      <c r="B67" s="94">
        <f t="shared" ref="B67:B125" si="5">WEEKNUM(A67,1)</f>
        <v>21</v>
      </c>
      <c r="C67" s="119" t="s">
        <v>50</v>
      </c>
      <c r="D67" s="96">
        <v>4.1666666666666664E-2</v>
      </c>
      <c r="E67" s="131" t="s">
        <v>123</v>
      </c>
    </row>
    <row r="68" spans="1:5" x14ac:dyDescent="0.2">
      <c r="A68" s="129">
        <v>45071</v>
      </c>
      <c r="B68" s="94">
        <f t="shared" si="5"/>
        <v>21</v>
      </c>
      <c r="C68" s="119" t="s">
        <v>57</v>
      </c>
      <c r="D68" s="96">
        <v>4.1666666666666664E-2</v>
      </c>
      <c r="E68" s="131" t="s">
        <v>124</v>
      </c>
    </row>
    <row r="69" spans="1:5" ht="22.5" x14ac:dyDescent="0.2">
      <c r="A69" s="129">
        <v>45071</v>
      </c>
      <c r="B69" s="94">
        <f t="shared" si="5"/>
        <v>21</v>
      </c>
      <c r="C69" s="119" t="s">
        <v>51</v>
      </c>
      <c r="D69" s="96">
        <v>4.1666666666666664E-2</v>
      </c>
      <c r="E69" s="131" t="s">
        <v>125</v>
      </c>
    </row>
    <row r="70" spans="1:5" ht="22.5" x14ac:dyDescent="0.2">
      <c r="A70" s="129">
        <v>45071</v>
      </c>
      <c r="B70" s="94">
        <f t="shared" si="5"/>
        <v>21</v>
      </c>
      <c r="C70" s="119" t="s">
        <v>62</v>
      </c>
      <c r="D70" s="96">
        <v>4.1666666666666664E-2</v>
      </c>
      <c r="E70" s="131" t="s">
        <v>126</v>
      </c>
    </row>
    <row r="71" spans="1:5" ht="22.5" x14ac:dyDescent="0.2">
      <c r="A71" s="129">
        <v>45071</v>
      </c>
      <c r="B71" s="94">
        <f t="shared" si="5"/>
        <v>21</v>
      </c>
      <c r="C71" s="119" t="s">
        <v>63</v>
      </c>
      <c r="D71" s="96">
        <v>4.1666666666666664E-2</v>
      </c>
      <c r="E71" s="131" t="s">
        <v>127</v>
      </c>
    </row>
    <row r="72" spans="1:5" x14ac:dyDescent="0.2">
      <c r="A72" s="129">
        <v>45071</v>
      </c>
      <c r="B72" s="94">
        <f t="shared" si="5"/>
        <v>21</v>
      </c>
      <c r="C72" s="119" t="s">
        <v>66</v>
      </c>
      <c r="D72" s="96">
        <v>4.1666666666666664E-2</v>
      </c>
      <c r="E72" s="131" t="s">
        <v>128</v>
      </c>
    </row>
    <row r="73" spans="1:5" x14ac:dyDescent="0.2">
      <c r="A73" s="129">
        <v>45072</v>
      </c>
      <c r="B73" s="94">
        <f t="shared" si="5"/>
        <v>21</v>
      </c>
      <c r="C73" s="119" t="s">
        <v>30</v>
      </c>
      <c r="D73" s="96">
        <v>0.23263888888888887</v>
      </c>
      <c r="E73" s="131" t="s">
        <v>129</v>
      </c>
    </row>
    <row r="74" spans="1:5" x14ac:dyDescent="0.2">
      <c r="A74" s="132">
        <v>45076</v>
      </c>
      <c r="B74" s="113">
        <f t="shared" si="5"/>
        <v>22</v>
      </c>
      <c r="C74" s="120" t="s">
        <v>30</v>
      </c>
      <c r="D74" s="114"/>
      <c r="E74" s="133" t="s">
        <v>130</v>
      </c>
    </row>
    <row r="75" spans="1:5" ht="12" thickBot="1" x14ac:dyDescent="0.25">
      <c r="A75" s="134">
        <v>45077</v>
      </c>
      <c r="B75" s="135">
        <f t="shared" si="5"/>
        <v>22</v>
      </c>
      <c r="C75" s="136" t="s">
        <v>30</v>
      </c>
      <c r="D75" s="137">
        <v>0.2986111111111111</v>
      </c>
      <c r="E75" s="138" t="s">
        <v>142</v>
      </c>
    </row>
    <row r="76" spans="1:5" x14ac:dyDescent="0.2">
      <c r="A76" s="121"/>
      <c r="B76" s="122">
        <f t="shared" si="5"/>
        <v>0</v>
      </c>
      <c r="C76" s="123"/>
      <c r="D76" s="124"/>
      <c r="E76" s="125"/>
    </row>
    <row r="77" spans="1:5" x14ac:dyDescent="0.2">
      <c r="A77" s="93"/>
      <c r="B77" s="94">
        <f t="shared" si="5"/>
        <v>0</v>
      </c>
      <c r="C77" s="95"/>
      <c r="D77" s="96"/>
      <c r="E77" s="97"/>
    </row>
    <row r="78" spans="1:5" x14ac:dyDescent="0.2">
      <c r="A78" s="93"/>
      <c r="B78" s="94">
        <f t="shared" si="5"/>
        <v>0</v>
      </c>
      <c r="C78" s="95"/>
      <c r="D78" s="96"/>
      <c r="E78" s="97"/>
    </row>
    <row r="79" spans="1:5" x14ac:dyDescent="0.2">
      <c r="A79" s="93"/>
      <c r="B79" s="94">
        <f t="shared" si="5"/>
        <v>0</v>
      </c>
      <c r="C79" s="95"/>
      <c r="D79" s="96"/>
      <c r="E79" s="97"/>
    </row>
    <row r="80" spans="1:5" x14ac:dyDescent="0.2">
      <c r="A80" s="93"/>
      <c r="B80" s="94">
        <f t="shared" si="5"/>
        <v>0</v>
      </c>
      <c r="C80" s="95"/>
      <c r="D80" s="96"/>
      <c r="E80" s="97"/>
    </row>
    <row r="81" spans="1:9" x14ac:dyDescent="0.2">
      <c r="A81" s="93"/>
      <c r="B81" s="94">
        <f t="shared" si="5"/>
        <v>0</v>
      </c>
      <c r="C81" s="95"/>
      <c r="D81" s="96"/>
      <c r="E81" s="97"/>
      <c r="I81" s="88" t="s">
        <v>143</v>
      </c>
    </row>
    <row r="82" spans="1:9" x14ac:dyDescent="0.2">
      <c r="A82" s="93"/>
      <c r="B82" s="94">
        <f t="shared" si="5"/>
        <v>0</v>
      </c>
      <c r="C82" s="95"/>
      <c r="D82" s="96"/>
      <c r="E82" s="97"/>
    </row>
    <row r="83" spans="1:9" x14ac:dyDescent="0.2">
      <c r="A83" s="93"/>
      <c r="B83" s="94">
        <f t="shared" si="5"/>
        <v>0</v>
      </c>
      <c r="C83" s="95"/>
      <c r="D83" s="96"/>
      <c r="E83" s="97"/>
    </row>
    <row r="84" spans="1:9" x14ac:dyDescent="0.2">
      <c r="A84" s="93"/>
      <c r="B84" s="94">
        <f t="shared" si="5"/>
        <v>0</v>
      </c>
      <c r="C84" s="95"/>
      <c r="D84" s="96"/>
      <c r="E84" s="97"/>
    </row>
    <row r="85" spans="1:9" x14ac:dyDescent="0.2">
      <c r="A85" s="93"/>
      <c r="B85" s="94">
        <f t="shared" si="5"/>
        <v>0</v>
      </c>
      <c r="C85" s="95"/>
      <c r="D85" s="96"/>
      <c r="E85" s="97"/>
    </row>
    <row r="86" spans="1:9" x14ac:dyDescent="0.2">
      <c r="A86" s="93"/>
      <c r="B86" s="94">
        <f t="shared" si="5"/>
        <v>0</v>
      </c>
      <c r="C86" s="95"/>
      <c r="D86" s="96"/>
      <c r="E86" s="97"/>
    </row>
    <row r="87" spans="1:9" x14ac:dyDescent="0.2">
      <c r="A87" s="93"/>
      <c r="B87" s="94">
        <f t="shared" si="5"/>
        <v>0</v>
      </c>
      <c r="C87" s="95"/>
      <c r="D87" s="96"/>
      <c r="E87" s="97"/>
    </row>
    <row r="88" spans="1:9" x14ac:dyDescent="0.2">
      <c r="A88" s="93"/>
      <c r="B88" s="94">
        <f t="shared" si="5"/>
        <v>0</v>
      </c>
      <c r="C88" s="95"/>
      <c r="D88" s="96"/>
      <c r="E88" s="97"/>
    </row>
    <row r="89" spans="1:9" x14ac:dyDescent="0.2">
      <c r="A89" s="93"/>
      <c r="B89" s="94">
        <f t="shared" si="5"/>
        <v>0</v>
      </c>
      <c r="C89" s="95"/>
      <c r="D89" s="96"/>
      <c r="E89" s="97"/>
    </row>
    <row r="90" spans="1:9" x14ac:dyDescent="0.2">
      <c r="A90" s="93"/>
      <c r="B90" s="94">
        <f t="shared" si="5"/>
        <v>0</v>
      </c>
      <c r="C90" s="95"/>
      <c r="D90" s="96"/>
      <c r="E90" s="97"/>
    </row>
    <row r="91" spans="1:9" x14ac:dyDescent="0.2">
      <c r="A91" s="93"/>
      <c r="B91" s="94">
        <f t="shared" si="5"/>
        <v>0</v>
      </c>
      <c r="C91" s="95"/>
      <c r="D91" s="96"/>
      <c r="E91" s="97"/>
    </row>
    <row r="92" spans="1:9" x14ac:dyDescent="0.2">
      <c r="A92" s="93"/>
      <c r="B92" s="94">
        <f t="shared" si="5"/>
        <v>0</v>
      </c>
      <c r="C92" s="95"/>
      <c r="D92" s="96"/>
      <c r="E92" s="97"/>
    </row>
    <row r="93" spans="1:9" x14ac:dyDescent="0.2">
      <c r="A93" s="93"/>
      <c r="B93" s="94">
        <f t="shared" si="5"/>
        <v>0</v>
      </c>
      <c r="C93" s="95"/>
      <c r="D93" s="96"/>
      <c r="E93" s="97"/>
    </row>
    <row r="94" spans="1:9" x14ac:dyDescent="0.2">
      <c r="A94" s="93"/>
      <c r="B94" s="94">
        <f t="shared" si="5"/>
        <v>0</v>
      </c>
      <c r="C94" s="95"/>
      <c r="D94" s="96"/>
      <c r="E94" s="97"/>
    </row>
    <row r="95" spans="1:9" x14ac:dyDescent="0.2">
      <c r="A95" s="93"/>
      <c r="B95" s="94">
        <f t="shared" si="5"/>
        <v>0</v>
      </c>
      <c r="C95" s="95"/>
      <c r="D95" s="96"/>
      <c r="E95" s="97"/>
    </row>
    <row r="96" spans="1:9" x14ac:dyDescent="0.2">
      <c r="A96" s="93"/>
      <c r="B96" s="94">
        <f t="shared" si="5"/>
        <v>0</v>
      </c>
      <c r="C96" s="95"/>
      <c r="D96" s="96"/>
      <c r="E96" s="97"/>
    </row>
    <row r="97" spans="1:5" x14ac:dyDescent="0.2">
      <c r="A97" s="93"/>
      <c r="B97" s="94">
        <f t="shared" si="5"/>
        <v>0</v>
      </c>
      <c r="C97" s="95"/>
      <c r="D97" s="96"/>
      <c r="E97" s="97"/>
    </row>
    <row r="98" spans="1:5" x14ac:dyDescent="0.2">
      <c r="A98" s="93"/>
      <c r="B98" s="94">
        <f t="shared" si="5"/>
        <v>0</v>
      </c>
      <c r="C98" s="95"/>
      <c r="D98" s="96"/>
      <c r="E98" s="97"/>
    </row>
    <row r="99" spans="1:5" x14ac:dyDescent="0.2">
      <c r="A99" s="93"/>
      <c r="B99" s="94">
        <f t="shared" si="5"/>
        <v>0</v>
      </c>
      <c r="C99" s="95"/>
      <c r="D99" s="96"/>
      <c r="E99" s="97"/>
    </row>
    <row r="100" spans="1:5" x14ac:dyDescent="0.2">
      <c r="A100" s="93"/>
      <c r="B100" s="94">
        <f t="shared" si="5"/>
        <v>0</v>
      </c>
      <c r="C100" s="95"/>
      <c r="D100" s="96"/>
      <c r="E100" s="97"/>
    </row>
    <row r="101" spans="1:5" x14ac:dyDescent="0.2">
      <c r="A101" s="93"/>
      <c r="B101" s="94">
        <f t="shared" si="5"/>
        <v>0</v>
      </c>
      <c r="C101" s="95"/>
      <c r="D101" s="96"/>
      <c r="E101" s="97"/>
    </row>
    <row r="102" spans="1:5" x14ac:dyDescent="0.2">
      <c r="A102" s="93"/>
      <c r="B102" s="94">
        <f t="shared" si="5"/>
        <v>0</v>
      </c>
      <c r="C102" s="95"/>
      <c r="D102" s="96"/>
      <c r="E102" s="97"/>
    </row>
    <row r="103" spans="1:5" x14ac:dyDescent="0.2">
      <c r="A103" s="93"/>
      <c r="B103" s="94">
        <f t="shared" si="5"/>
        <v>0</v>
      </c>
      <c r="C103" s="95"/>
      <c r="D103" s="96"/>
      <c r="E103" s="97"/>
    </row>
    <row r="104" spans="1:5" x14ac:dyDescent="0.2">
      <c r="A104" s="93"/>
      <c r="B104" s="94">
        <f t="shared" si="5"/>
        <v>0</v>
      </c>
      <c r="C104" s="95"/>
      <c r="D104" s="96"/>
      <c r="E104" s="97"/>
    </row>
    <row r="105" spans="1:5" x14ac:dyDescent="0.2">
      <c r="A105" s="93"/>
      <c r="B105" s="94">
        <f t="shared" si="5"/>
        <v>0</v>
      </c>
      <c r="C105" s="95"/>
      <c r="D105" s="96"/>
      <c r="E105" s="97"/>
    </row>
    <row r="106" spans="1:5" x14ac:dyDescent="0.2">
      <c r="A106" s="93"/>
      <c r="B106" s="94">
        <f t="shared" si="5"/>
        <v>0</v>
      </c>
      <c r="C106" s="95"/>
      <c r="D106" s="96"/>
      <c r="E106" s="97"/>
    </row>
    <row r="107" spans="1:5" x14ac:dyDescent="0.2">
      <c r="A107" s="93"/>
      <c r="B107" s="94">
        <f t="shared" si="5"/>
        <v>0</v>
      </c>
      <c r="C107" s="95"/>
      <c r="D107" s="96"/>
      <c r="E107" s="97"/>
    </row>
    <row r="108" spans="1:5" x14ac:dyDescent="0.2">
      <c r="A108" s="93"/>
      <c r="B108" s="94">
        <f t="shared" si="5"/>
        <v>0</v>
      </c>
      <c r="C108" s="95"/>
      <c r="D108" s="96"/>
      <c r="E108" s="97"/>
    </row>
    <row r="109" spans="1:5" x14ac:dyDescent="0.2">
      <c r="A109" s="93"/>
      <c r="B109" s="94">
        <f t="shared" si="5"/>
        <v>0</v>
      </c>
      <c r="C109" s="95"/>
      <c r="D109" s="96"/>
      <c r="E109" s="97"/>
    </row>
    <row r="110" spans="1:5" x14ac:dyDescent="0.2">
      <c r="A110" s="93"/>
      <c r="B110" s="94">
        <f t="shared" si="5"/>
        <v>0</v>
      </c>
      <c r="C110" s="95"/>
      <c r="D110" s="96"/>
      <c r="E110" s="97"/>
    </row>
    <row r="111" spans="1:5" x14ac:dyDescent="0.2">
      <c r="A111" s="93"/>
      <c r="B111" s="94">
        <f t="shared" si="5"/>
        <v>0</v>
      </c>
      <c r="C111" s="95"/>
      <c r="D111" s="96"/>
      <c r="E111" s="97"/>
    </row>
    <row r="112" spans="1:5" x14ac:dyDescent="0.2">
      <c r="A112" s="93"/>
      <c r="B112" s="94">
        <f t="shared" si="5"/>
        <v>0</v>
      </c>
      <c r="C112" s="95"/>
      <c r="D112" s="96"/>
      <c r="E112" s="97"/>
    </row>
    <row r="113" spans="1:5" x14ac:dyDescent="0.2">
      <c r="A113" s="93"/>
      <c r="B113" s="94">
        <f t="shared" si="5"/>
        <v>0</v>
      </c>
      <c r="C113" s="95"/>
      <c r="D113" s="96"/>
      <c r="E113" s="97"/>
    </row>
    <row r="114" spans="1:5" x14ac:dyDescent="0.2">
      <c r="A114" s="93"/>
      <c r="B114" s="94">
        <f t="shared" si="5"/>
        <v>0</v>
      </c>
      <c r="C114" s="95"/>
      <c r="D114" s="96"/>
      <c r="E114" s="97"/>
    </row>
    <row r="115" spans="1:5" x14ac:dyDescent="0.2">
      <c r="A115" s="93"/>
      <c r="B115" s="94">
        <f t="shared" si="5"/>
        <v>0</v>
      </c>
      <c r="C115" s="95"/>
      <c r="D115" s="96"/>
      <c r="E115" s="97"/>
    </row>
    <row r="116" spans="1:5" x14ac:dyDescent="0.2">
      <c r="A116" s="93"/>
      <c r="B116" s="94">
        <f t="shared" si="5"/>
        <v>0</v>
      </c>
      <c r="C116" s="95"/>
      <c r="D116" s="96"/>
      <c r="E116" s="97"/>
    </row>
    <row r="117" spans="1:5" x14ac:dyDescent="0.2">
      <c r="A117" s="93"/>
      <c r="B117" s="94">
        <f t="shared" si="5"/>
        <v>0</v>
      </c>
      <c r="C117" s="95"/>
      <c r="D117" s="96"/>
      <c r="E117" s="97"/>
    </row>
    <row r="118" spans="1:5" x14ac:dyDescent="0.2">
      <c r="A118" s="93"/>
      <c r="B118" s="94">
        <f t="shared" si="5"/>
        <v>0</v>
      </c>
      <c r="C118" s="95"/>
      <c r="D118" s="96"/>
      <c r="E118" s="97"/>
    </row>
    <row r="119" spans="1:5" x14ac:dyDescent="0.2">
      <c r="A119" s="93"/>
      <c r="B119" s="94">
        <f t="shared" si="5"/>
        <v>0</v>
      </c>
      <c r="C119" s="95"/>
      <c r="D119" s="96"/>
      <c r="E119" s="97"/>
    </row>
    <row r="120" spans="1:5" x14ac:dyDescent="0.2">
      <c r="A120" s="93"/>
      <c r="B120" s="94">
        <f t="shared" si="5"/>
        <v>0</v>
      </c>
      <c r="C120" s="95"/>
      <c r="D120" s="96"/>
      <c r="E120" s="97"/>
    </row>
    <row r="121" spans="1:5" x14ac:dyDescent="0.2">
      <c r="A121" s="93"/>
      <c r="B121" s="94">
        <f t="shared" si="5"/>
        <v>0</v>
      </c>
      <c r="C121" s="95"/>
      <c r="D121" s="96"/>
      <c r="E121" s="97"/>
    </row>
    <row r="122" spans="1:5" x14ac:dyDescent="0.2">
      <c r="A122" s="93"/>
      <c r="B122" s="94">
        <f t="shared" si="5"/>
        <v>0</v>
      </c>
      <c r="C122" s="95"/>
      <c r="D122" s="96"/>
      <c r="E122" s="97"/>
    </row>
    <row r="123" spans="1:5" x14ac:dyDescent="0.2">
      <c r="A123" s="93"/>
      <c r="B123" s="94">
        <f t="shared" si="5"/>
        <v>0</v>
      </c>
      <c r="C123" s="95"/>
      <c r="D123" s="96"/>
      <c r="E123" s="97"/>
    </row>
    <row r="124" spans="1:5" x14ac:dyDescent="0.2">
      <c r="A124" s="93"/>
      <c r="B124" s="94">
        <f t="shared" si="5"/>
        <v>0</v>
      </c>
      <c r="C124" s="95"/>
      <c r="D124" s="96"/>
      <c r="E124" s="97"/>
    </row>
    <row r="125" spans="1:5" x14ac:dyDescent="0.2">
      <c r="A125" s="93"/>
      <c r="B125" s="94">
        <f t="shared" si="5"/>
        <v>0</v>
      </c>
      <c r="C125" s="95"/>
      <c r="D125" s="96"/>
      <c r="E125" s="97"/>
    </row>
    <row r="126" spans="1:5" x14ac:dyDescent="0.2">
      <c r="A126" s="93"/>
      <c r="B126" s="94">
        <f t="shared" ref="B126:B189" si="6">WEEKNUM(A126,1)</f>
        <v>0</v>
      </c>
      <c r="C126" s="95"/>
      <c r="D126" s="96"/>
      <c r="E126" s="97"/>
    </row>
    <row r="127" spans="1:5" x14ac:dyDescent="0.2">
      <c r="A127" s="93"/>
      <c r="B127" s="94">
        <f t="shared" si="6"/>
        <v>0</v>
      </c>
      <c r="C127" s="95"/>
      <c r="D127" s="96"/>
      <c r="E127" s="97"/>
    </row>
    <row r="128" spans="1:5" x14ac:dyDescent="0.2">
      <c r="A128" s="93"/>
      <c r="B128" s="94">
        <f t="shared" si="6"/>
        <v>0</v>
      </c>
      <c r="C128" s="95"/>
      <c r="D128" s="96"/>
      <c r="E128" s="97"/>
    </row>
    <row r="129" spans="1:5" x14ac:dyDescent="0.2">
      <c r="A129" s="93"/>
      <c r="B129" s="94">
        <f t="shared" si="6"/>
        <v>0</v>
      </c>
      <c r="C129" s="95"/>
      <c r="D129" s="96"/>
      <c r="E129" s="97"/>
    </row>
    <row r="130" spans="1:5" x14ac:dyDescent="0.2">
      <c r="A130" s="93"/>
      <c r="B130" s="94">
        <f t="shared" si="6"/>
        <v>0</v>
      </c>
      <c r="C130" s="95"/>
      <c r="D130" s="96"/>
      <c r="E130" s="97"/>
    </row>
    <row r="131" spans="1:5" x14ac:dyDescent="0.2">
      <c r="A131" s="93"/>
      <c r="B131" s="94">
        <f t="shared" si="6"/>
        <v>0</v>
      </c>
      <c r="C131" s="95"/>
      <c r="D131" s="96"/>
      <c r="E131" s="97"/>
    </row>
    <row r="132" spans="1:5" x14ac:dyDescent="0.2">
      <c r="A132" s="93"/>
      <c r="B132" s="94">
        <f t="shared" si="6"/>
        <v>0</v>
      </c>
      <c r="C132" s="95"/>
      <c r="D132" s="96"/>
      <c r="E132" s="97"/>
    </row>
    <row r="133" spans="1:5" x14ac:dyDescent="0.2">
      <c r="A133" s="93"/>
      <c r="B133" s="94">
        <f t="shared" si="6"/>
        <v>0</v>
      </c>
      <c r="C133" s="95"/>
      <c r="D133" s="96"/>
      <c r="E133" s="97"/>
    </row>
    <row r="134" spans="1:5" x14ac:dyDescent="0.2">
      <c r="A134" s="93"/>
      <c r="B134" s="94">
        <f t="shared" si="6"/>
        <v>0</v>
      </c>
      <c r="C134" s="95"/>
      <c r="D134" s="96"/>
      <c r="E134" s="97"/>
    </row>
    <row r="135" spans="1:5" x14ac:dyDescent="0.2">
      <c r="A135" s="93"/>
      <c r="B135" s="94">
        <f t="shared" si="6"/>
        <v>0</v>
      </c>
      <c r="C135" s="95"/>
      <c r="D135" s="96"/>
      <c r="E135" s="97"/>
    </row>
    <row r="136" spans="1:5" x14ac:dyDescent="0.2">
      <c r="A136" s="93"/>
      <c r="B136" s="94">
        <f t="shared" si="6"/>
        <v>0</v>
      </c>
      <c r="C136" s="95"/>
      <c r="D136" s="96"/>
      <c r="E136" s="97"/>
    </row>
    <row r="137" spans="1:5" x14ac:dyDescent="0.2">
      <c r="A137" s="93"/>
      <c r="B137" s="94">
        <f t="shared" si="6"/>
        <v>0</v>
      </c>
      <c r="C137" s="95"/>
      <c r="D137" s="96"/>
      <c r="E137" s="97"/>
    </row>
    <row r="138" spans="1:5" x14ac:dyDescent="0.2">
      <c r="A138" s="93"/>
      <c r="B138" s="94">
        <f t="shared" si="6"/>
        <v>0</v>
      </c>
      <c r="C138" s="95"/>
      <c r="D138" s="96"/>
      <c r="E138" s="97"/>
    </row>
    <row r="139" spans="1:5" x14ac:dyDescent="0.2">
      <c r="A139" s="93"/>
      <c r="B139" s="94">
        <f t="shared" si="6"/>
        <v>0</v>
      </c>
      <c r="C139" s="95"/>
      <c r="D139" s="96"/>
      <c r="E139" s="97"/>
    </row>
    <row r="140" spans="1:5" x14ac:dyDescent="0.2">
      <c r="A140" s="93"/>
      <c r="B140" s="94">
        <f t="shared" si="6"/>
        <v>0</v>
      </c>
      <c r="C140" s="95"/>
      <c r="D140" s="96"/>
      <c r="E140" s="97"/>
    </row>
    <row r="141" spans="1:5" x14ac:dyDescent="0.2">
      <c r="A141" s="93"/>
      <c r="B141" s="94">
        <f t="shared" si="6"/>
        <v>0</v>
      </c>
      <c r="C141" s="95"/>
      <c r="D141" s="96"/>
      <c r="E141" s="97"/>
    </row>
    <row r="142" spans="1:5" x14ac:dyDescent="0.2">
      <c r="A142" s="93"/>
      <c r="B142" s="94">
        <f t="shared" si="6"/>
        <v>0</v>
      </c>
      <c r="C142" s="95"/>
      <c r="D142" s="96"/>
      <c r="E142" s="97"/>
    </row>
    <row r="143" spans="1:5" x14ac:dyDescent="0.2">
      <c r="A143" s="93"/>
      <c r="B143" s="94">
        <f t="shared" si="6"/>
        <v>0</v>
      </c>
      <c r="C143" s="95"/>
      <c r="D143" s="96"/>
      <c r="E143" s="97"/>
    </row>
    <row r="144" spans="1:5" x14ac:dyDescent="0.2">
      <c r="A144" s="93"/>
      <c r="B144" s="94">
        <f t="shared" si="6"/>
        <v>0</v>
      </c>
      <c r="C144" s="95"/>
      <c r="D144" s="96"/>
      <c r="E144" s="97"/>
    </row>
    <row r="145" spans="1:5" x14ac:dyDescent="0.2">
      <c r="A145" s="93"/>
      <c r="B145" s="94">
        <f t="shared" si="6"/>
        <v>0</v>
      </c>
      <c r="C145" s="95"/>
      <c r="D145" s="96"/>
      <c r="E145" s="97"/>
    </row>
    <row r="146" spans="1:5" x14ac:dyDescent="0.2">
      <c r="A146" s="93"/>
      <c r="B146" s="94">
        <f t="shared" si="6"/>
        <v>0</v>
      </c>
      <c r="C146" s="95"/>
      <c r="D146" s="96"/>
      <c r="E146" s="97"/>
    </row>
    <row r="147" spans="1:5" x14ac:dyDescent="0.2">
      <c r="A147" s="93"/>
      <c r="B147" s="94">
        <f t="shared" si="6"/>
        <v>0</v>
      </c>
      <c r="C147" s="95"/>
      <c r="D147" s="96"/>
      <c r="E147" s="97"/>
    </row>
    <row r="148" spans="1:5" x14ac:dyDescent="0.2">
      <c r="A148" s="93"/>
      <c r="B148" s="94">
        <f t="shared" si="6"/>
        <v>0</v>
      </c>
      <c r="C148" s="95"/>
      <c r="D148" s="96"/>
      <c r="E148" s="97"/>
    </row>
    <row r="149" spans="1:5" x14ac:dyDescent="0.2">
      <c r="A149" s="93"/>
      <c r="B149" s="94">
        <f t="shared" si="6"/>
        <v>0</v>
      </c>
      <c r="C149" s="95"/>
      <c r="D149" s="96"/>
      <c r="E149" s="97"/>
    </row>
    <row r="150" spans="1:5" x14ac:dyDescent="0.2">
      <c r="A150" s="93"/>
      <c r="B150" s="94">
        <f t="shared" si="6"/>
        <v>0</v>
      </c>
      <c r="C150" s="95"/>
      <c r="D150" s="96"/>
      <c r="E150" s="97"/>
    </row>
    <row r="151" spans="1:5" x14ac:dyDescent="0.2">
      <c r="A151" s="93"/>
      <c r="B151" s="94">
        <f t="shared" si="6"/>
        <v>0</v>
      </c>
      <c r="C151" s="95"/>
      <c r="D151" s="96"/>
      <c r="E151" s="97"/>
    </row>
    <row r="152" spans="1:5" x14ac:dyDescent="0.2">
      <c r="A152" s="93"/>
      <c r="B152" s="94">
        <f t="shared" si="6"/>
        <v>0</v>
      </c>
      <c r="C152" s="95"/>
      <c r="D152" s="96"/>
      <c r="E152" s="97"/>
    </row>
    <row r="153" spans="1:5" x14ac:dyDescent="0.2">
      <c r="A153" s="93"/>
      <c r="B153" s="94">
        <f t="shared" si="6"/>
        <v>0</v>
      </c>
      <c r="C153" s="95"/>
      <c r="D153" s="96"/>
      <c r="E153" s="97"/>
    </row>
    <row r="154" spans="1:5" x14ac:dyDescent="0.2">
      <c r="A154" s="93"/>
      <c r="B154" s="94">
        <f t="shared" si="6"/>
        <v>0</v>
      </c>
      <c r="C154" s="95"/>
      <c r="D154" s="96"/>
      <c r="E154" s="97"/>
    </row>
    <row r="155" spans="1:5" x14ac:dyDescent="0.2">
      <c r="A155" s="93"/>
      <c r="B155" s="94">
        <f t="shared" si="6"/>
        <v>0</v>
      </c>
      <c r="C155" s="95"/>
      <c r="D155" s="96"/>
      <c r="E155" s="97"/>
    </row>
    <row r="156" spans="1:5" x14ac:dyDescent="0.2">
      <c r="A156" s="93"/>
      <c r="B156" s="94">
        <f t="shared" si="6"/>
        <v>0</v>
      </c>
      <c r="C156" s="95"/>
      <c r="D156" s="96"/>
      <c r="E156" s="97"/>
    </row>
    <row r="157" spans="1:5" x14ac:dyDescent="0.2">
      <c r="A157" s="93"/>
      <c r="B157" s="94">
        <f t="shared" si="6"/>
        <v>0</v>
      </c>
      <c r="C157" s="95"/>
      <c r="D157" s="96"/>
      <c r="E157" s="97"/>
    </row>
    <row r="158" spans="1:5" x14ac:dyDescent="0.2">
      <c r="A158" s="93"/>
      <c r="B158" s="94">
        <f t="shared" si="6"/>
        <v>0</v>
      </c>
      <c r="C158" s="95"/>
      <c r="D158" s="96"/>
      <c r="E158" s="97"/>
    </row>
    <row r="159" spans="1:5" x14ac:dyDescent="0.2">
      <c r="A159" s="93"/>
      <c r="B159" s="94">
        <f t="shared" si="6"/>
        <v>0</v>
      </c>
      <c r="C159" s="95"/>
      <c r="D159" s="96"/>
      <c r="E159" s="97"/>
    </row>
    <row r="160" spans="1:5" x14ac:dyDescent="0.2">
      <c r="A160" s="93"/>
      <c r="B160" s="94">
        <f t="shared" si="6"/>
        <v>0</v>
      </c>
      <c r="C160" s="95"/>
      <c r="D160" s="96"/>
      <c r="E160" s="97"/>
    </row>
    <row r="161" spans="1:5" x14ac:dyDescent="0.2">
      <c r="A161" s="93"/>
      <c r="B161" s="94">
        <f t="shared" si="6"/>
        <v>0</v>
      </c>
      <c r="C161" s="95"/>
      <c r="D161" s="96"/>
      <c r="E161" s="97"/>
    </row>
    <row r="162" spans="1:5" x14ac:dyDescent="0.2">
      <c r="A162" s="93"/>
      <c r="B162" s="94">
        <f t="shared" si="6"/>
        <v>0</v>
      </c>
      <c r="C162" s="95"/>
      <c r="D162" s="96"/>
      <c r="E162" s="97"/>
    </row>
    <row r="163" spans="1:5" x14ac:dyDescent="0.2">
      <c r="A163" s="93"/>
      <c r="B163" s="94">
        <f t="shared" si="6"/>
        <v>0</v>
      </c>
      <c r="C163" s="95"/>
      <c r="D163" s="96"/>
      <c r="E163" s="97"/>
    </row>
    <row r="164" spans="1:5" x14ac:dyDescent="0.2">
      <c r="A164" s="93"/>
      <c r="B164" s="94">
        <f t="shared" si="6"/>
        <v>0</v>
      </c>
      <c r="C164" s="95"/>
      <c r="D164" s="96"/>
      <c r="E164" s="97"/>
    </row>
    <row r="165" spans="1:5" x14ac:dyDescent="0.2">
      <c r="A165" s="93"/>
      <c r="B165" s="94">
        <f t="shared" si="6"/>
        <v>0</v>
      </c>
      <c r="C165" s="95"/>
      <c r="D165" s="96"/>
      <c r="E165" s="97"/>
    </row>
    <row r="166" spans="1:5" x14ac:dyDescent="0.2">
      <c r="A166" s="93"/>
      <c r="B166" s="94">
        <f t="shared" si="6"/>
        <v>0</v>
      </c>
      <c r="C166" s="95"/>
      <c r="D166" s="96"/>
      <c r="E166" s="97"/>
    </row>
    <row r="167" spans="1:5" x14ac:dyDescent="0.2">
      <c r="A167" s="93"/>
      <c r="B167" s="94">
        <f t="shared" si="6"/>
        <v>0</v>
      </c>
      <c r="C167" s="95"/>
      <c r="D167" s="96"/>
      <c r="E167" s="97"/>
    </row>
    <row r="168" spans="1:5" x14ac:dyDescent="0.2">
      <c r="A168" s="93"/>
      <c r="B168" s="94">
        <f t="shared" si="6"/>
        <v>0</v>
      </c>
      <c r="C168" s="95"/>
      <c r="D168" s="96"/>
      <c r="E168" s="97"/>
    </row>
    <row r="169" spans="1:5" x14ac:dyDescent="0.2">
      <c r="A169" s="93"/>
      <c r="B169" s="94">
        <f t="shared" si="6"/>
        <v>0</v>
      </c>
      <c r="C169" s="95"/>
      <c r="D169" s="96"/>
      <c r="E169" s="97"/>
    </row>
    <row r="170" spans="1:5" x14ac:dyDescent="0.2">
      <c r="A170" s="93"/>
      <c r="B170" s="94">
        <f t="shared" si="6"/>
        <v>0</v>
      </c>
      <c r="C170" s="95"/>
      <c r="D170" s="96"/>
      <c r="E170" s="97"/>
    </row>
    <row r="171" spans="1:5" x14ac:dyDescent="0.2">
      <c r="A171" s="93"/>
      <c r="B171" s="94">
        <f t="shared" si="6"/>
        <v>0</v>
      </c>
      <c r="C171" s="95"/>
      <c r="D171" s="96"/>
      <c r="E171" s="97"/>
    </row>
    <row r="172" spans="1:5" x14ac:dyDescent="0.2">
      <c r="A172" s="93"/>
      <c r="B172" s="94">
        <f t="shared" si="6"/>
        <v>0</v>
      </c>
      <c r="C172" s="95"/>
      <c r="D172" s="96"/>
      <c r="E172" s="97"/>
    </row>
    <row r="173" spans="1:5" x14ac:dyDescent="0.2">
      <c r="A173" s="93"/>
      <c r="B173" s="94">
        <f t="shared" si="6"/>
        <v>0</v>
      </c>
      <c r="C173" s="95"/>
      <c r="D173" s="96"/>
      <c r="E173" s="97"/>
    </row>
    <row r="174" spans="1:5" x14ac:dyDescent="0.2">
      <c r="A174" s="93"/>
      <c r="B174" s="94">
        <f t="shared" si="6"/>
        <v>0</v>
      </c>
      <c r="C174" s="95"/>
      <c r="D174" s="96"/>
      <c r="E174" s="97"/>
    </row>
    <row r="175" spans="1:5" x14ac:dyDescent="0.2">
      <c r="A175" s="93"/>
      <c r="B175" s="94">
        <f t="shared" si="6"/>
        <v>0</v>
      </c>
      <c r="C175" s="95"/>
      <c r="D175" s="96"/>
      <c r="E175" s="97"/>
    </row>
    <row r="176" spans="1:5" x14ac:dyDescent="0.2">
      <c r="A176" s="93"/>
      <c r="B176" s="94">
        <f t="shared" si="6"/>
        <v>0</v>
      </c>
      <c r="C176" s="95"/>
      <c r="D176" s="96"/>
      <c r="E176" s="97"/>
    </row>
    <row r="177" spans="1:5" x14ac:dyDescent="0.2">
      <c r="A177" s="93"/>
      <c r="B177" s="94">
        <f t="shared" si="6"/>
        <v>0</v>
      </c>
      <c r="C177" s="95"/>
      <c r="D177" s="96"/>
      <c r="E177" s="97"/>
    </row>
    <row r="178" spans="1:5" x14ac:dyDescent="0.2">
      <c r="A178" s="93"/>
      <c r="B178" s="94">
        <f t="shared" si="6"/>
        <v>0</v>
      </c>
      <c r="C178" s="95"/>
      <c r="D178" s="96"/>
      <c r="E178" s="97"/>
    </row>
    <row r="179" spans="1:5" x14ac:dyDescent="0.2">
      <c r="A179" s="93"/>
      <c r="B179" s="94">
        <f t="shared" si="6"/>
        <v>0</v>
      </c>
      <c r="C179" s="95"/>
      <c r="D179" s="96"/>
      <c r="E179" s="97"/>
    </row>
    <row r="180" spans="1:5" x14ac:dyDescent="0.2">
      <c r="A180" s="93"/>
      <c r="B180" s="94">
        <f t="shared" si="6"/>
        <v>0</v>
      </c>
      <c r="C180" s="95"/>
      <c r="D180" s="96"/>
      <c r="E180" s="97"/>
    </row>
    <row r="181" spans="1:5" x14ac:dyDescent="0.2">
      <c r="A181" s="93"/>
      <c r="B181" s="94">
        <f t="shared" si="6"/>
        <v>0</v>
      </c>
      <c r="C181" s="95"/>
      <c r="D181" s="96"/>
      <c r="E181" s="97"/>
    </row>
    <row r="182" spans="1:5" x14ac:dyDescent="0.2">
      <c r="A182" s="93"/>
      <c r="B182" s="94">
        <f t="shared" si="6"/>
        <v>0</v>
      </c>
      <c r="C182" s="95"/>
      <c r="D182" s="96"/>
      <c r="E182" s="97"/>
    </row>
    <row r="183" spans="1:5" x14ac:dyDescent="0.2">
      <c r="A183" s="93"/>
      <c r="B183" s="94">
        <f t="shared" si="6"/>
        <v>0</v>
      </c>
      <c r="C183" s="95"/>
      <c r="D183" s="96"/>
      <c r="E183" s="97"/>
    </row>
    <row r="184" spans="1:5" x14ac:dyDescent="0.2">
      <c r="A184" s="93"/>
      <c r="B184" s="94">
        <f t="shared" si="6"/>
        <v>0</v>
      </c>
      <c r="C184" s="95"/>
      <c r="D184" s="96"/>
      <c r="E184" s="97"/>
    </row>
    <row r="185" spans="1:5" x14ac:dyDescent="0.2">
      <c r="A185" s="93"/>
      <c r="B185" s="94">
        <f t="shared" si="6"/>
        <v>0</v>
      </c>
      <c r="C185" s="95"/>
      <c r="D185" s="96"/>
      <c r="E185" s="97"/>
    </row>
    <row r="186" spans="1:5" x14ac:dyDescent="0.2">
      <c r="A186" s="93"/>
      <c r="B186" s="94">
        <f t="shared" si="6"/>
        <v>0</v>
      </c>
      <c r="C186" s="95"/>
      <c r="D186" s="96"/>
      <c r="E186" s="97"/>
    </row>
    <row r="187" spans="1:5" x14ac:dyDescent="0.2">
      <c r="A187" s="93"/>
      <c r="B187" s="94">
        <f t="shared" si="6"/>
        <v>0</v>
      </c>
      <c r="C187" s="95"/>
      <c r="D187" s="96"/>
      <c r="E187" s="97"/>
    </row>
    <row r="188" spans="1:5" x14ac:dyDescent="0.2">
      <c r="A188" s="93"/>
      <c r="B188" s="94">
        <f t="shared" si="6"/>
        <v>0</v>
      </c>
      <c r="C188" s="95"/>
      <c r="D188" s="96"/>
      <c r="E188" s="97"/>
    </row>
    <row r="189" spans="1:5" x14ac:dyDescent="0.2">
      <c r="A189" s="93"/>
      <c r="B189" s="94">
        <f t="shared" si="6"/>
        <v>0</v>
      </c>
      <c r="C189" s="95"/>
      <c r="D189" s="96"/>
      <c r="E189" s="97"/>
    </row>
    <row r="190" spans="1:5" x14ac:dyDescent="0.2">
      <c r="A190" s="93"/>
      <c r="B190" s="94">
        <f t="shared" ref="B190:B253" si="7">WEEKNUM(A190,1)</f>
        <v>0</v>
      </c>
      <c r="C190" s="95"/>
      <c r="D190" s="96"/>
      <c r="E190" s="97"/>
    </row>
    <row r="191" spans="1:5" x14ac:dyDescent="0.2">
      <c r="A191" s="93"/>
      <c r="B191" s="94">
        <f t="shared" si="7"/>
        <v>0</v>
      </c>
      <c r="C191" s="95"/>
      <c r="D191" s="96"/>
      <c r="E191" s="97"/>
    </row>
    <row r="192" spans="1:5" x14ac:dyDescent="0.2">
      <c r="A192" s="93"/>
      <c r="B192" s="94">
        <f t="shared" si="7"/>
        <v>0</v>
      </c>
      <c r="C192" s="95"/>
      <c r="D192" s="96"/>
      <c r="E192" s="97"/>
    </row>
    <row r="193" spans="1:5" x14ac:dyDescent="0.2">
      <c r="A193" s="93"/>
      <c r="B193" s="94">
        <f t="shared" si="7"/>
        <v>0</v>
      </c>
      <c r="C193" s="95"/>
      <c r="D193" s="96"/>
      <c r="E193" s="97"/>
    </row>
    <row r="194" spans="1:5" x14ac:dyDescent="0.2">
      <c r="A194" s="93"/>
      <c r="B194" s="94">
        <f t="shared" si="7"/>
        <v>0</v>
      </c>
      <c r="C194" s="95"/>
      <c r="D194" s="96"/>
      <c r="E194" s="97"/>
    </row>
    <row r="195" spans="1:5" x14ac:dyDescent="0.2">
      <c r="A195" s="93"/>
      <c r="B195" s="94">
        <f t="shared" si="7"/>
        <v>0</v>
      </c>
      <c r="C195" s="95"/>
      <c r="D195" s="96"/>
      <c r="E195" s="97"/>
    </row>
    <row r="196" spans="1:5" x14ac:dyDescent="0.2">
      <c r="A196" s="93"/>
      <c r="B196" s="94">
        <f t="shared" si="7"/>
        <v>0</v>
      </c>
      <c r="C196" s="95"/>
      <c r="D196" s="96"/>
      <c r="E196" s="97"/>
    </row>
    <row r="197" spans="1:5" x14ac:dyDescent="0.2">
      <c r="A197" s="93"/>
      <c r="B197" s="94">
        <f t="shared" si="7"/>
        <v>0</v>
      </c>
      <c r="C197" s="95"/>
      <c r="D197" s="96"/>
      <c r="E197" s="97"/>
    </row>
    <row r="198" spans="1:5" x14ac:dyDescent="0.2">
      <c r="A198" s="93"/>
      <c r="B198" s="94">
        <f t="shared" si="7"/>
        <v>0</v>
      </c>
      <c r="C198" s="95"/>
      <c r="D198" s="96"/>
      <c r="E198" s="97"/>
    </row>
    <row r="199" spans="1:5" x14ac:dyDescent="0.2">
      <c r="A199" s="93"/>
      <c r="B199" s="94">
        <f t="shared" si="7"/>
        <v>0</v>
      </c>
      <c r="C199" s="95"/>
      <c r="D199" s="96"/>
      <c r="E199" s="97"/>
    </row>
    <row r="200" spans="1:5" x14ac:dyDescent="0.2">
      <c r="A200" s="93"/>
      <c r="B200" s="94">
        <f t="shared" si="7"/>
        <v>0</v>
      </c>
      <c r="C200" s="95"/>
      <c r="D200" s="96"/>
      <c r="E200" s="97"/>
    </row>
    <row r="201" spans="1:5" x14ac:dyDescent="0.2">
      <c r="A201" s="93"/>
      <c r="B201" s="94">
        <f t="shared" si="7"/>
        <v>0</v>
      </c>
      <c r="C201" s="95"/>
      <c r="D201" s="96"/>
      <c r="E201" s="97"/>
    </row>
    <row r="202" spans="1:5" x14ac:dyDescent="0.2">
      <c r="A202" s="93"/>
      <c r="B202" s="94">
        <f t="shared" si="7"/>
        <v>0</v>
      </c>
      <c r="C202" s="95"/>
      <c r="D202" s="96"/>
      <c r="E202" s="97"/>
    </row>
    <row r="203" spans="1:5" x14ac:dyDescent="0.2">
      <c r="A203" s="93"/>
      <c r="B203" s="94">
        <f t="shared" si="7"/>
        <v>0</v>
      </c>
      <c r="C203" s="95"/>
      <c r="D203" s="96"/>
      <c r="E203" s="97"/>
    </row>
    <row r="204" spans="1:5" x14ac:dyDescent="0.2">
      <c r="A204" s="93"/>
      <c r="B204" s="94">
        <f t="shared" si="7"/>
        <v>0</v>
      </c>
      <c r="C204" s="95"/>
      <c r="D204" s="96"/>
      <c r="E204" s="97"/>
    </row>
    <row r="205" spans="1:5" x14ac:dyDescent="0.2">
      <c r="A205" s="93"/>
      <c r="B205" s="94">
        <f t="shared" si="7"/>
        <v>0</v>
      </c>
      <c r="C205" s="95"/>
      <c r="D205" s="96"/>
      <c r="E205" s="97"/>
    </row>
    <row r="206" spans="1:5" x14ac:dyDescent="0.2">
      <c r="A206" s="93"/>
      <c r="B206" s="94">
        <f t="shared" si="7"/>
        <v>0</v>
      </c>
      <c r="C206" s="95"/>
      <c r="D206" s="96"/>
      <c r="E206" s="97"/>
    </row>
    <row r="207" spans="1:5" x14ac:dyDescent="0.2">
      <c r="A207" s="93"/>
      <c r="B207" s="94">
        <f t="shared" si="7"/>
        <v>0</v>
      </c>
      <c r="C207" s="95"/>
      <c r="D207" s="96"/>
      <c r="E207" s="97"/>
    </row>
    <row r="208" spans="1:5" x14ac:dyDescent="0.2">
      <c r="A208" s="93"/>
      <c r="B208" s="94">
        <f t="shared" si="7"/>
        <v>0</v>
      </c>
      <c r="C208" s="95"/>
      <c r="D208" s="96"/>
      <c r="E208" s="97"/>
    </row>
    <row r="209" spans="1:5" x14ac:dyDescent="0.2">
      <c r="A209" s="93"/>
      <c r="B209" s="94">
        <f t="shared" si="7"/>
        <v>0</v>
      </c>
      <c r="C209" s="95"/>
      <c r="D209" s="96"/>
      <c r="E209" s="97"/>
    </row>
    <row r="210" spans="1:5" x14ac:dyDescent="0.2">
      <c r="A210" s="93"/>
      <c r="B210" s="94">
        <f t="shared" si="7"/>
        <v>0</v>
      </c>
      <c r="C210" s="95"/>
      <c r="D210" s="96"/>
      <c r="E210" s="97"/>
    </row>
    <row r="211" spans="1:5" x14ac:dyDescent="0.2">
      <c r="A211" s="93"/>
      <c r="B211" s="94">
        <f t="shared" si="7"/>
        <v>0</v>
      </c>
      <c r="C211" s="95"/>
      <c r="D211" s="96"/>
      <c r="E211" s="97"/>
    </row>
    <row r="212" spans="1:5" x14ac:dyDescent="0.2">
      <c r="A212" s="93"/>
      <c r="B212" s="94">
        <f t="shared" si="7"/>
        <v>0</v>
      </c>
      <c r="C212" s="95"/>
      <c r="D212" s="96"/>
      <c r="E212" s="97"/>
    </row>
    <row r="213" spans="1:5" x14ac:dyDescent="0.2">
      <c r="A213" s="93"/>
      <c r="B213" s="94">
        <f t="shared" si="7"/>
        <v>0</v>
      </c>
      <c r="C213" s="95"/>
      <c r="D213" s="96"/>
      <c r="E213" s="97"/>
    </row>
    <row r="214" spans="1:5" x14ac:dyDescent="0.2">
      <c r="A214" s="93"/>
      <c r="B214" s="94">
        <f t="shared" si="7"/>
        <v>0</v>
      </c>
      <c r="C214" s="95"/>
      <c r="D214" s="96"/>
      <c r="E214" s="97"/>
    </row>
    <row r="215" spans="1:5" x14ac:dyDescent="0.2">
      <c r="A215" s="93"/>
      <c r="B215" s="94">
        <f t="shared" si="7"/>
        <v>0</v>
      </c>
      <c r="C215" s="95"/>
      <c r="D215" s="96"/>
      <c r="E215" s="97"/>
    </row>
    <row r="216" spans="1:5" x14ac:dyDescent="0.2">
      <c r="A216" s="93"/>
      <c r="B216" s="94">
        <f t="shared" si="7"/>
        <v>0</v>
      </c>
      <c r="C216" s="95"/>
      <c r="D216" s="96"/>
      <c r="E216" s="97"/>
    </row>
    <row r="217" spans="1:5" x14ac:dyDescent="0.2">
      <c r="A217" s="93"/>
      <c r="B217" s="94">
        <f t="shared" si="7"/>
        <v>0</v>
      </c>
      <c r="C217" s="95"/>
      <c r="D217" s="96"/>
      <c r="E217" s="97"/>
    </row>
    <row r="218" spans="1:5" x14ac:dyDescent="0.2">
      <c r="A218" s="93"/>
      <c r="B218" s="94">
        <f t="shared" si="7"/>
        <v>0</v>
      </c>
      <c r="C218" s="95"/>
      <c r="D218" s="96"/>
      <c r="E218" s="97"/>
    </row>
    <row r="219" spans="1:5" x14ac:dyDescent="0.2">
      <c r="A219" s="93"/>
      <c r="B219" s="94">
        <f t="shared" si="7"/>
        <v>0</v>
      </c>
      <c r="C219" s="95"/>
      <c r="D219" s="96"/>
      <c r="E219" s="97"/>
    </row>
    <row r="220" spans="1:5" x14ac:dyDescent="0.2">
      <c r="A220" s="93"/>
      <c r="B220" s="94">
        <f t="shared" si="7"/>
        <v>0</v>
      </c>
      <c r="C220" s="95"/>
      <c r="D220" s="96"/>
      <c r="E220" s="97"/>
    </row>
    <row r="221" spans="1:5" x14ac:dyDescent="0.2">
      <c r="A221" s="93"/>
      <c r="B221" s="94">
        <f t="shared" si="7"/>
        <v>0</v>
      </c>
      <c r="C221" s="95"/>
      <c r="D221" s="96"/>
      <c r="E221" s="97"/>
    </row>
    <row r="222" spans="1:5" x14ac:dyDescent="0.2">
      <c r="A222" s="93"/>
      <c r="B222" s="94">
        <f t="shared" si="7"/>
        <v>0</v>
      </c>
      <c r="C222" s="95"/>
      <c r="D222" s="96"/>
      <c r="E222" s="97"/>
    </row>
    <row r="223" spans="1:5" x14ac:dyDescent="0.2">
      <c r="A223" s="93"/>
      <c r="B223" s="94">
        <f t="shared" si="7"/>
        <v>0</v>
      </c>
      <c r="C223" s="95"/>
      <c r="D223" s="96"/>
      <c r="E223" s="97"/>
    </row>
    <row r="224" spans="1:5" x14ac:dyDescent="0.2">
      <c r="A224" s="93"/>
      <c r="B224" s="94">
        <f t="shared" si="7"/>
        <v>0</v>
      </c>
      <c r="C224" s="95"/>
      <c r="D224" s="96"/>
      <c r="E224" s="97"/>
    </row>
    <row r="225" spans="1:5" x14ac:dyDescent="0.2">
      <c r="A225" s="93"/>
      <c r="B225" s="94">
        <f t="shared" si="7"/>
        <v>0</v>
      </c>
      <c r="C225" s="95"/>
      <c r="D225" s="96"/>
      <c r="E225" s="97"/>
    </row>
    <row r="226" spans="1:5" x14ac:dyDescent="0.2">
      <c r="A226" s="93"/>
      <c r="B226" s="94">
        <f t="shared" si="7"/>
        <v>0</v>
      </c>
      <c r="C226" s="95"/>
      <c r="D226" s="96"/>
      <c r="E226" s="97"/>
    </row>
    <row r="227" spans="1:5" x14ac:dyDescent="0.2">
      <c r="A227" s="93"/>
      <c r="B227" s="94">
        <f t="shared" si="7"/>
        <v>0</v>
      </c>
      <c r="C227" s="95"/>
      <c r="D227" s="96"/>
      <c r="E227" s="97"/>
    </row>
    <row r="228" spans="1:5" x14ac:dyDescent="0.2">
      <c r="A228" s="93"/>
      <c r="B228" s="94">
        <f t="shared" si="7"/>
        <v>0</v>
      </c>
      <c r="C228" s="95"/>
      <c r="D228" s="96"/>
      <c r="E228" s="97"/>
    </row>
    <row r="229" spans="1:5" x14ac:dyDescent="0.2">
      <c r="A229" s="93"/>
      <c r="B229" s="94">
        <f t="shared" si="7"/>
        <v>0</v>
      </c>
      <c r="C229" s="95"/>
      <c r="D229" s="96"/>
      <c r="E229" s="97"/>
    </row>
    <row r="230" spans="1:5" x14ac:dyDescent="0.2">
      <c r="A230" s="93"/>
      <c r="B230" s="94">
        <f t="shared" si="7"/>
        <v>0</v>
      </c>
      <c r="C230" s="95"/>
      <c r="D230" s="96"/>
      <c r="E230" s="97"/>
    </row>
    <row r="231" spans="1:5" x14ac:dyDescent="0.2">
      <c r="A231" s="93"/>
      <c r="B231" s="94">
        <f t="shared" si="7"/>
        <v>0</v>
      </c>
      <c r="C231" s="95"/>
      <c r="D231" s="96"/>
      <c r="E231" s="97"/>
    </row>
    <row r="232" spans="1:5" x14ac:dyDescent="0.2">
      <c r="A232" s="93"/>
      <c r="B232" s="94">
        <f t="shared" si="7"/>
        <v>0</v>
      </c>
      <c r="C232" s="95"/>
      <c r="D232" s="96"/>
      <c r="E232" s="97"/>
    </row>
    <row r="233" spans="1:5" x14ac:dyDescent="0.2">
      <c r="A233" s="93"/>
      <c r="B233" s="94">
        <f t="shared" si="7"/>
        <v>0</v>
      </c>
      <c r="C233" s="95"/>
      <c r="D233" s="96"/>
      <c r="E233" s="97"/>
    </row>
    <row r="234" spans="1:5" x14ac:dyDescent="0.2">
      <c r="A234" s="93"/>
      <c r="B234" s="94">
        <f t="shared" si="7"/>
        <v>0</v>
      </c>
      <c r="C234" s="95"/>
      <c r="D234" s="96"/>
      <c r="E234" s="97"/>
    </row>
    <row r="235" spans="1:5" x14ac:dyDescent="0.2">
      <c r="A235" s="93"/>
      <c r="B235" s="94">
        <f t="shared" si="7"/>
        <v>0</v>
      </c>
      <c r="C235" s="95"/>
      <c r="D235" s="96"/>
      <c r="E235" s="97"/>
    </row>
    <row r="236" spans="1:5" x14ac:dyDescent="0.2">
      <c r="A236" s="93"/>
      <c r="B236" s="94">
        <f t="shared" si="7"/>
        <v>0</v>
      </c>
      <c r="C236" s="95"/>
      <c r="D236" s="96"/>
      <c r="E236" s="97"/>
    </row>
    <row r="237" spans="1:5" x14ac:dyDescent="0.2">
      <c r="A237" s="93"/>
      <c r="B237" s="94">
        <f t="shared" si="7"/>
        <v>0</v>
      </c>
      <c r="C237" s="95"/>
      <c r="D237" s="96"/>
      <c r="E237" s="97"/>
    </row>
    <row r="238" spans="1:5" x14ac:dyDescent="0.2">
      <c r="A238" s="93"/>
      <c r="B238" s="94">
        <f t="shared" si="7"/>
        <v>0</v>
      </c>
      <c r="C238" s="95"/>
      <c r="D238" s="96"/>
      <c r="E238" s="97"/>
    </row>
    <row r="239" spans="1:5" x14ac:dyDescent="0.2">
      <c r="A239" s="93"/>
      <c r="B239" s="94">
        <f t="shared" si="7"/>
        <v>0</v>
      </c>
      <c r="C239" s="95"/>
      <c r="D239" s="96"/>
      <c r="E239" s="97"/>
    </row>
    <row r="240" spans="1:5" x14ac:dyDescent="0.2">
      <c r="A240" s="93"/>
      <c r="B240" s="94">
        <f t="shared" si="7"/>
        <v>0</v>
      </c>
      <c r="C240" s="95"/>
      <c r="D240" s="96"/>
      <c r="E240" s="97"/>
    </row>
    <row r="241" spans="1:5" x14ac:dyDescent="0.2">
      <c r="A241" s="93"/>
      <c r="B241" s="94">
        <f t="shared" si="7"/>
        <v>0</v>
      </c>
      <c r="C241" s="95"/>
      <c r="D241" s="96"/>
      <c r="E241" s="97"/>
    </row>
    <row r="242" spans="1:5" x14ac:dyDescent="0.2">
      <c r="A242" s="93"/>
      <c r="B242" s="94">
        <f t="shared" si="7"/>
        <v>0</v>
      </c>
      <c r="C242" s="95"/>
      <c r="D242" s="96"/>
      <c r="E242" s="97"/>
    </row>
    <row r="243" spans="1:5" x14ac:dyDescent="0.2">
      <c r="A243" s="93"/>
      <c r="B243" s="94">
        <f t="shared" si="7"/>
        <v>0</v>
      </c>
      <c r="C243" s="95"/>
      <c r="D243" s="96"/>
      <c r="E243" s="97"/>
    </row>
    <row r="244" spans="1:5" x14ac:dyDescent="0.2">
      <c r="A244" s="93"/>
      <c r="B244" s="94">
        <f t="shared" si="7"/>
        <v>0</v>
      </c>
      <c r="C244" s="95"/>
      <c r="D244" s="96"/>
      <c r="E244" s="97"/>
    </row>
    <row r="245" spans="1:5" x14ac:dyDescent="0.2">
      <c r="A245" s="93"/>
      <c r="B245" s="94">
        <f t="shared" si="7"/>
        <v>0</v>
      </c>
      <c r="C245" s="95"/>
      <c r="D245" s="96"/>
      <c r="E245" s="97"/>
    </row>
    <row r="246" spans="1:5" x14ac:dyDescent="0.2">
      <c r="A246" s="93"/>
      <c r="B246" s="94">
        <f t="shared" si="7"/>
        <v>0</v>
      </c>
      <c r="C246" s="95"/>
      <c r="D246" s="96"/>
      <c r="E246" s="97"/>
    </row>
    <row r="247" spans="1:5" x14ac:dyDescent="0.2">
      <c r="A247" s="93"/>
      <c r="B247" s="94">
        <f t="shared" si="7"/>
        <v>0</v>
      </c>
      <c r="C247" s="95"/>
      <c r="D247" s="96"/>
      <c r="E247" s="97"/>
    </row>
    <row r="248" spans="1:5" x14ac:dyDescent="0.2">
      <c r="A248" s="93"/>
      <c r="B248" s="94">
        <f t="shared" si="7"/>
        <v>0</v>
      </c>
      <c r="C248" s="95"/>
      <c r="D248" s="96"/>
      <c r="E248" s="97"/>
    </row>
    <row r="249" spans="1:5" x14ac:dyDescent="0.2">
      <c r="A249" s="93"/>
      <c r="B249" s="94">
        <f t="shared" si="7"/>
        <v>0</v>
      </c>
      <c r="C249" s="95"/>
      <c r="D249" s="96"/>
      <c r="E249" s="97"/>
    </row>
    <row r="250" spans="1:5" x14ac:dyDescent="0.2">
      <c r="A250" s="93"/>
      <c r="B250" s="94">
        <f t="shared" si="7"/>
        <v>0</v>
      </c>
      <c r="C250" s="95"/>
      <c r="D250" s="96"/>
      <c r="E250" s="97"/>
    </row>
    <row r="251" spans="1:5" x14ac:dyDescent="0.2">
      <c r="A251" s="93"/>
      <c r="B251" s="94">
        <f t="shared" si="7"/>
        <v>0</v>
      </c>
      <c r="C251" s="95"/>
      <c r="D251" s="96"/>
      <c r="E251" s="97"/>
    </row>
    <row r="252" spans="1:5" x14ac:dyDescent="0.2">
      <c r="A252" s="93"/>
      <c r="B252" s="94">
        <f t="shared" si="7"/>
        <v>0</v>
      </c>
      <c r="C252" s="95"/>
      <c r="D252" s="96"/>
      <c r="E252" s="97"/>
    </row>
    <row r="253" spans="1:5" x14ac:dyDescent="0.2">
      <c r="A253" s="93"/>
      <c r="B253" s="94">
        <f t="shared" si="7"/>
        <v>0</v>
      </c>
      <c r="C253" s="95"/>
      <c r="D253" s="96"/>
      <c r="E253" s="97"/>
    </row>
    <row r="254" spans="1:5" x14ac:dyDescent="0.2">
      <c r="A254" s="93"/>
      <c r="B254" s="94">
        <f t="shared" ref="B254:B317" si="8">WEEKNUM(A254,1)</f>
        <v>0</v>
      </c>
      <c r="C254" s="95"/>
      <c r="D254" s="96"/>
      <c r="E254" s="97"/>
    </row>
    <row r="255" spans="1:5" x14ac:dyDescent="0.2">
      <c r="A255" s="93"/>
      <c r="B255" s="94">
        <f t="shared" si="8"/>
        <v>0</v>
      </c>
      <c r="C255" s="95"/>
      <c r="D255" s="96"/>
      <c r="E255" s="97"/>
    </row>
    <row r="256" spans="1:5" x14ac:dyDescent="0.2">
      <c r="A256" s="93"/>
      <c r="B256" s="94">
        <f t="shared" si="8"/>
        <v>0</v>
      </c>
      <c r="C256" s="95"/>
      <c r="D256" s="96"/>
      <c r="E256" s="97"/>
    </row>
    <row r="257" spans="1:5" x14ac:dyDescent="0.2">
      <c r="A257" s="93"/>
      <c r="B257" s="94">
        <f t="shared" si="8"/>
        <v>0</v>
      </c>
      <c r="C257" s="95"/>
      <c r="D257" s="96"/>
      <c r="E257" s="97"/>
    </row>
    <row r="258" spans="1:5" x14ac:dyDescent="0.2">
      <c r="A258" s="93"/>
      <c r="B258" s="94">
        <f t="shared" si="8"/>
        <v>0</v>
      </c>
      <c r="C258" s="95"/>
      <c r="D258" s="96"/>
      <c r="E258" s="97"/>
    </row>
    <row r="259" spans="1:5" x14ac:dyDescent="0.2">
      <c r="A259" s="93"/>
      <c r="B259" s="94">
        <f t="shared" si="8"/>
        <v>0</v>
      </c>
      <c r="C259" s="95"/>
      <c r="D259" s="96"/>
      <c r="E259" s="97"/>
    </row>
    <row r="260" spans="1:5" x14ac:dyDescent="0.2">
      <c r="A260" s="93"/>
      <c r="B260" s="94">
        <f t="shared" si="8"/>
        <v>0</v>
      </c>
      <c r="C260" s="95"/>
      <c r="D260" s="96"/>
      <c r="E260" s="97"/>
    </row>
    <row r="261" spans="1:5" x14ac:dyDescent="0.2">
      <c r="A261" s="93"/>
      <c r="B261" s="94">
        <f t="shared" si="8"/>
        <v>0</v>
      </c>
      <c r="C261" s="95"/>
      <c r="D261" s="96"/>
      <c r="E261" s="97"/>
    </row>
    <row r="262" spans="1:5" x14ac:dyDescent="0.2">
      <c r="A262" s="93"/>
      <c r="B262" s="94">
        <f t="shared" si="8"/>
        <v>0</v>
      </c>
      <c r="C262" s="95"/>
      <c r="D262" s="96"/>
      <c r="E262" s="97"/>
    </row>
    <row r="263" spans="1:5" x14ac:dyDescent="0.2">
      <c r="A263" s="93"/>
      <c r="B263" s="94">
        <f t="shared" si="8"/>
        <v>0</v>
      </c>
      <c r="C263" s="95"/>
      <c r="D263" s="96"/>
      <c r="E263" s="97"/>
    </row>
    <row r="264" spans="1:5" x14ac:dyDescent="0.2">
      <c r="A264" s="93"/>
      <c r="B264" s="94">
        <f t="shared" si="8"/>
        <v>0</v>
      </c>
      <c r="C264" s="95"/>
      <c r="D264" s="96"/>
      <c r="E264" s="97"/>
    </row>
    <row r="265" spans="1:5" x14ac:dyDescent="0.2">
      <c r="A265" s="93"/>
      <c r="B265" s="94">
        <f t="shared" si="8"/>
        <v>0</v>
      </c>
      <c r="C265" s="95"/>
      <c r="D265" s="96"/>
      <c r="E265" s="97"/>
    </row>
    <row r="266" spans="1:5" x14ac:dyDescent="0.2">
      <c r="A266" s="93"/>
      <c r="B266" s="94">
        <f t="shared" si="8"/>
        <v>0</v>
      </c>
      <c r="C266" s="95"/>
      <c r="D266" s="96"/>
      <c r="E266" s="97"/>
    </row>
    <row r="267" spans="1:5" x14ac:dyDescent="0.2">
      <c r="A267" s="93"/>
      <c r="B267" s="94">
        <f t="shared" si="8"/>
        <v>0</v>
      </c>
      <c r="C267" s="95"/>
      <c r="D267" s="96"/>
      <c r="E267" s="97"/>
    </row>
    <row r="268" spans="1:5" x14ac:dyDescent="0.2">
      <c r="A268" s="93"/>
      <c r="B268" s="94">
        <f t="shared" si="8"/>
        <v>0</v>
      </c>
      <c r="C268" s="95"/>
      <c r="D268" s="96"/>
      <c r="E268" s="97"/>
    </row>
    <row r="269" spans="1:5" x14ac:dyDescent="0.2">
      <c r="A269" s="93"/>
      <c r="B269" s="94">
        <f t="shared" si="8"/>
        <v>0</v>
      </c>
      <c r="C269" s="95"/>
      <c r="D269" s="96"/>
      <c r="E269" s="97"/>
    </row>
    <row r="270" spans="1:5" x14ac:dyDescent="0.2">
      <c r="A270" s="93"/>
      <c r="B270" s="94">
        <f t="shared" si="8"/>
        <v>0</v>
      </c>
      <c r="C270" s="95"/>
      <c r="D270" s="96"/>
      <c r="E270" s="97"/>
    </row>
    <row r="271" spans="1:5" x14ac:dyDescent="0.2">
      <c r="A271" s="93"/>
      <c r="B271" s="94">
        <f t="shared" si="8"/>
        <v>0</v>
      </c>
      <c r="C271" s="95"/>
      <c r="D271" s="96"/>
      <c r="E271" s="97"/>
    </row>
    <row r="272" spans="1:5" x14ac:dyDescent="0.2">
      <c r="A272" s="93"/>
      <c r="B272" s="94">
        <f t="shared" si="8"/>
        <v>0</v>
      </c>
      <c r="C272" s="95"/>
      <c r="D272" s="96"/>
      <c r="E272" s="97"/>
    </row>
    <row r="273" spans="1:5" x14ac:dyDescent="0.2">
      <c r="A273" s="93"/>
      <c r="B273" s="94">
        <f t="shared" si="8"/>
        <v>0</v>
      </c>
      <c r="C273" s="95"/>
      <c r="D273" s="96"/>
      <c r="E273" s="97"/>
    </row>
    <row r="274" spans="1:5" x14ac:dyDescent="0.2">
      <c r="A274" s="93"/>
      <c r="B274" s="94">
        <f t="shared" si="8"/>
        <v>0</v>
      </c>
      <c r="C274" s="95"/>
      <c r="D274" s="96"/>
      <c r="E274" s="97"/>
    </row>
    <row r="275" spans="1:5" x14ac:dyDescent="0.2">
      <c r="A275" s="93"/>
      <c r="B275" s="94">
        <f t="shared" si="8"/>
        <v>0</v>
      </c>
      <c r="C275" s="95"/>
      <c r="D275" s="96"/>
      <c r="E275" s="97"/>
    </row>
    <row r="276" spans="1:5" x14ac:dyDescent="0.2">
      <c r="A276" s="93"/>
      <c r="B276" s="94">
        <f t="shared" si="8"/>
        <v>0</v>
      </c>
      <c r="C276" s="95"/>
      <c r="D276" s="96"/>
      <c r="E276" s="97"/>
    </row>
    <row r="277" spans="1:5" x14ac:dyDescent="0.2">
      <c r="A277" s="93"/>
      <c r="B277" s="94">
        <f t="shared" si="8"/>
        <v>0</v>
      </c>
      <c r="C277" s="95"/>
      <c r="D277" s="96"/>
      <c r="E277" s="97"/>
    </row>
    <row r="278" spans="1:5" x14ac:dyDescent="0.2">
      <c r="A278" s="93"/>
      <c r="B278" s="94">
        <f t="shared" si="8"/>
        <v>0</v>
      </c>
      <c r="C278" s="95"/>
      <c r="D278" s="96"/>
      <c r="E278" s="97"/>
    </row>
    <row r="279" spans="1:5" x14ac:dyDescent="0.2">
      <c r="A279" s="93"/>
      <c r="B279" s="94">
        <f t="shared" si="8"/>
        <v>0</v>
      </c>
      <c r="C279" s="95"/>
      <c r="D279" s="96"/>
      <c r="E279" s="97"/>
    </row>
    <row r="280" spans="1:5" x14ac:dyDescent="0.2">
      <c r="A280" s="93"/>
      <c r="B280" s="94">
        <f t="shared" si="8"/>
        <v>0</v>
      </c>
      <c r="C280" s="95"/>
      <c r="D280" s="96"/>
      <c r="E280" s="97"/>
    </row>
    <row r="281" spans="1:5" x14ac:dyDescent="0.2">
      <c r="A281" s="93"/>
      <c r="B281" s="94">
        <f t="shared" si="8"/>
        <v>0</v>
      </c>
      <c r="C281" s="95"/>
      <c r="D281" s="96"/>
      <c r="E281" s="97"/>
    </row>
    <row r="282" spans="1:5" x14ac:dyDescent="0.2">
      <c r="A282" s="93"/>
      <c r="B282" s="94">
        <f t="shared" si="8"/>
        <v>0</v>
      </c>
      <c r="C282" s="95"/>
      <c r="D282" s="96"/>
      <c r="E282" s="97"/>
    </row>
    <row r="283" spans="1:5" x14ac:dyDescent="0.2">
      <c r="A283" s="93"/>
      <c r="B283" s="94">
        <f t="shared" si="8"/>
        <v>0</v>
      </c>
      <c r="C283" s="95"/>
      <c r="D283" s="96"/>
      <c r="E283" s="97"/>
    </row>
    <row r="284" spans="1:5" x14ac:dyDescent="0.2">
      <c r="A284" s="93"/>
      <c r="B284" s="94">
        <f t="shared" si="8"/>
        <v>0</v>
      </c>
      <c r="C284" s="95"/>
      <c r="D284" s="96"/>
      <c r="E284" s="97"/>
    </row>
    <row r="285" spans="1:5" x14ac:dyDescent="0.2">
      <c r="A285" s="93"/>
      <c r="B285" s="94">
        <f t="shared" si="8"/>
        <v>0</v>
      </c>
      <c r="C285" s="95"/>
      <c r="D285" s="96"/>
      <c r="E285" s="97"/>
    </row>
    <row r="286" spans="1:5" x14ac:dyDescent="0.2">
      <c r="A286" s="93"/>
      <c r="B286" s="94">
        <f t="shared" si="8"/>
        <v>0</v>
      </c>
      <c r="C286" s="95"/>
      <c r="D286" s="96"/>
      <c r="E286" s="97"/>
    </row>
    <row r="287" spans="1:5" x14ac:dyDescent="0.2">
      <c r="A287" s="93"/>
      <c r="B287" s="94">
        <f t="shared" si="8"/>
        <v>0</v>
      </c>
      <c r="C287" s="95"/>
      <c r="D287" s="96"/>
      <c r="E287" s="97"/>
    </row>
    <row r="288" spans="1:5" x14ac:dyDescent="0.2">
      <c r="A288" s="93"/>
      <c r="B288" s="94">
        <f t="shared" si="8"/>
        <v>0</v>
      </c>
      <c r="C288" s="95"/>
      <c r="D288" s="96"/>
      <c r="E288" s="97"/>
    </row>
    <row r="289" spans="1:5" x14ac:dyDescent="0.2">
      <c r="A289" s="93"/>
      <c r="B289" s="94">
        <f t="shared" si="8"/>
        <v>0</v>
      </c>
      <c r="C289" s="95"/>
      <c r="D289" s="96"/>
      <c r="E289" s="97"/>
    </row>
    <row r="290" spans="1:5" x14ac:dyDescent="0.2">
      <c r="A290" s="93"/>
      <c r="B290" s="94">
        <f t="shared" si="8"/>
        <v>0</v>
      </c>
      <c r="C290" s="95"/>
      <c r="D290" s="96"/>
      <c r="E290" s="97"/>
    </row>
    <row r="291" spans="1:5" x14ac:dyDescent="0.2">
      <c r="A291" s="93"/>
      <c r="B291" s="94">
        <f t="shared" si="8"/>
        <v>0</v>
      </c>
      <c r="C291" s="95"/>
      <c r="D291" s="96"/>
      <c r="E291" s="97"/>
    </row>
    <row r="292" spans="1:5" x14ac:dyDescent="0.2">
      <c r="A292" s="93"/>
      <c r="B292" s="94">
        <f t="shared" si="8"/>
        <v>0</v>
      </c>
      <c r="C292" s="95"/>
      <c r="D292" s="96"/>
      <c r="E292" s="97"/>
    </row>
    <row r="293" spans="1:5" x14ac:dyDescent="0.2">
      <c r="A293" s="93"/>
      <c r="B293" s="94">
        <f t="shared" si="8"/>
        <v>0</v>
      </c>
      <c r="C293" s="95"/>
      <c r="D293" s="96"/>
      <c r="E293" s="97"/>
    </row>
    <row r="294" spans="1:5" x14ac:dyDescent="0.2">
      <c r="A294" s="93"/>
      <c r="B294" s="94">
        <f t="shared" si="8"/>
        <v>0</v>
      </c>
      <c r="C294" s="95"/>
      <c r="D294" s="96"/>
      <c r="E294" s="97"/>
    </row>
    <row r="295" spans="1:5" x14ac:dyDescent="0.2">
      <c r="A295" s="93"/>
      <c r="B295" s="94">
        <f t="shared" si="8"/>
        <v>0</v>
      </c>
      <c r="C295" s="95"/>
      <c r="D295" s="96"/>
      <c r="E295" s="97"/>
    </row>
    <row r="296" spans="1:5" x14ac:dyDescent="0.2">
      <c r="A296" s="93"/>
      <c r="B296" s="94">
        <f t="shared" si="8"/>
        <v>0</v>
      </c>
      <c r="C296" s="95"/>
      <c r="D296" s="96"/>
      <c r="E296" s="97"/>
    </row>
    <row r="297" spans="1:5" x14ac:dyDescent="0.2">
      <c r="A297" s="93"/>
      <c r="B297" s="94">
        <f t="shared" si="8"/>
        <v>0</v>
      </c>
      <c r="C297" s="95"/>
      <c r="D297" s="96"/>
      <c r="E297" s="97"/>
    </row>
    <row r="298" spans="1:5" x14ac:dyDescent="0.2">
      <c r="A298" s="93"/>
      <c r="B298" s="94">
        <f t="shared" si="8"/>
        <v>0</v>
      </c>
      <c r="C298" s="95"/>
      <c r="D298" s="96"/>
      <c r="E298" s="97"/>
    </row>
    <row r="299" spans="1:5" x14ac:dyDescent="0.2">
      <c r="A299" s="93"/>
      <c r="B299" s="94">
        <f t="shared" si="8"/>
        <v>0</v>
      </c>
      <c r="C299" s="95"/>
      <c r="D299" s="96"/>
      <c r="E299" s="97"/>
    </row>
    <row r="300" spans="1:5" x14ac:dyDescent="0.2">
      <c r="A300" s="93"/>
      <c r="B300" s="94">
        <f t="shared" si="8"/>
        <v>0</v>
      </c>
      <c r="C300" s="95"/>
      <c r="D300" s="96"/>
      <c r="E300" s="97"/>
    </row>
    <row r="301" spans="1:5" x14ac:dyDescent="0.2">
      <c r="A301" s="93"/>
      <c r="B301" s="94">
        <f t="shared" si="8"/>
        <v>0</v>
      </c>
      <c r="C301" s="95"/>
      <c r="D301" s="96"/>
      <c r="E301" s="97"/>
    </row>
    <row r="302" spans="1:5" x14ac:dyDescent="0.2">
      <c r="A302" s="93"/>
      <c r="B302" s="94">
        <f t="shared" si="8"/>
        <v>0</v>
      </c>
      <c r="C302" s="95"/>
      <c r="D302" s="96"/>
      <c r="E302" s="97"/>
    </row>
    <row r="303" spans="1:5" x14ac:dyDescent="0.2">
      <c r="A303" s="93"/>
      <c r="B303" s="94">
        <f t="shared" si="8"/>
        <v>0</v>
      </c>
      <c r="C303" s="95"/>
      <c r="D303" s="96"/>
      <c r="E303" s="97"/>
    </row>
    <row r="304" spans="1:5" x14ac:dyDescent="0.2">
      <c r="A304" s="93"/>
      <c r="B304" s="94">
        <f t="shared" si="8"/>
        <v>0</v>
      </c>
      <c r="C304" s="95"/>
      <c r="D304" s="96"/>
      <c r="E304" s="97"/>
    </row>
    <row r="305" spans="1:5" x14ac:dyDescent="0.2">
      <c r="A305" s="93"/>
      <c r="B305" s="94">
        <f t="shared" si="8"/>
        <v>0</v>
      </c>
      <c r="C305" s="95"/>
      <c r="D305" s="96"/>
      <c r="E305" s="97"/>
    </row>
    <row r="306" spans="1:5" x14ac:dyDescent="0.2">
      <c r="A306" s="93"/>
      <c r="B306" s="94">
        <f t="shared" si="8"/>
        <v>0</v>
      </c>
      <c r="C306" s="95"/>
      <c r="D306" s="96"/>
      <c r="E306" s="97"/>
    </row>
    <row r="307" spans="1:5" x14ac:dyDescent="0.2">
      <c r="A307" s="93"/>
      <c r="B307" s="94">
        <f t="shared" si="8"/>
        <v>0</v>
      </c>
      <c r="C307" s="95"/>
      <c r="D307" s="96"/>
      <c r="E307" s="97"/>
    </row>
    <row r="308" spans="1:5" x14ac:dyDescent="0.2">
      <c r="A308" s="93"/>
      <c r="B308" s="94">
        <f t="shared" si="8"/>
        <v>0</v>
      </c>
      <c r="C308" s="95"/>
      <c r="D308" s="96"/>
      <c r="E308" s="97"/>
    </row>
    <row r="309" spans="1:5" x14ac:dyDescent="0.2">
      <c r="A309" s="93"/>
      <c r="B309" s="94">
        <f t="shared" si="8"/>
        <v>0</v>
      </c>
      <c r="C309" s="95"/>
      <c r="D309" s="96"/>
      <c r="E309" s="97"/>
    </row>
    <row r="310" spans="1:5" x14ac:dyDescent="0.2">
      <c r="A310" s="93"/>
      <c r="B310" s="94">
        <f t="shared" si="8"/>
        <v>0</v>
      </c>
      <c r="C310" s="95"/>
      <c r="D310" s="96"/>
      <c r="E310" s="97"/>
    </row>
    <row r="311" spans="1:5" x14ac:dyDescent="0.2">
      <c r="A311" s="93"/>
      <c r="B311" s="94">
        <f t="shared" si="8"/>
        <v>0</v>
      </c>
      <c r="C311" s="95"/>
      <c r="D311" s="96"/>
      <c r="E311" s="97"/>
    </row>
    <row r="312" spans="1:5" x14ac:dyDescent="0.2">
      <c r="A312" s="93"/>
      <c r="B312" s="94">
        <f t="shared" si="8"/>
        <v>0</v>
      </c>
      <c r="C312" s="95"/>
      <c r="D312" s="96"/>
      <c r="E312" s="97"/>
    </row>
    <row r="313" spans="1:5" x14ac:dyDescent="0.2">
      <c r="A313" s="93"/>
      <c r="B313" s="94">
        <f t="shared" si="8"/>
        <v>0</v>
      </c>
      <c r="C313" s="95"/>
      <c r="D313" s="96"/>
      <c r="E313" s="97"/>
    </row>
    <row r="314" spans="1:5" x14ac:dyDescent="0.2">
      <c r="A314" s="93"/>
      <c r="B314" s="94">
        <f t="shared" si="8"/>
        <v>0</v>
      </c>
      <c r="C314" s="95"/>
      <c r="D314" s="96"/>
      <c r="E314" s="97"/>
    </row>
    <row r="315" spans="1:5" x14ac:dyDescent="0.2">
      <c r="A315" s="93"/>
      <c r="B315" s="94">
        <f t="shared" si="8"/>
        <v>0</v>
      </c>
      <c r="C315" s="95"/>
      <c r="D315" s="96"/>
      <c r="E315" s="97"/>
    </row>
    <row r="316" spans="1:5" x14ac:dyDescent="0.2">
      <c r="A316" s="93"/>
      <c r="B316" s="94">
        <f t="shared" si="8"/>
        <v>0</v>
      </c>
      <c r="C316" s="95"/>
      <c r="D316" s="96"/>
      <c r="E316" s="97"/>
    </row>
    <row r="317" spans="1:5" x14ac:dyDescent="0.2">
      <c r="A317" s="93"/>
      <c r="B317" s="94">
        <f t="shared" si="8"/>
        <v>0</v>
      </c>
      <c r="C317" s="95"/>
      <c r="D317" s="96"/>
      <c r="E317" s="97"/>
    </row>
    <row r="318" spans="1:5" x14ac:dyDescent="0.2">
      <c r="A318" s="93"/>
      <c r="B318" s="94">
        <f t="shared" ref="B318:B381" si="9">WEEKNUM(A318,1)</f>
        <v>0</v>
      </c>
      <c r="C318" s="95"/>
      <c r="D318" s="96"/>
      <c r="E318" s="97"/>
    </row>
    <row r="319" spans="1:5" x14ac:dyDescent="0.2">
      <c r="A319" s="93"/>
      <c r="B319" s="94">
        <f t="shared" si="9"/>
        <v>0</v>
      </c>
      <c r="C319" s="95"/>
      <c r="D319" s="96"/>
      <c r="E319" s="97"/>
    </row>
    <row r="320" spans="1:5" x14ac:dyDescent="0.2">
      <c r="A320" s="93"/>
      <c r="B320" s="94">
        <f t="shared" si="9"/>
        <v>0</v>
      </c>
      <c r="C320" s="95"/>
      <c r="D320" s="96"/>
      <c r="E320" s="97"/>
    </row>
    <row r="321" spans="1:5" x14ac:dyDescent="0.2">
      <c r="A321" s="93"/>
      <c r="B321" s="94">
        <f t="shared" si="9"/>
        <v>0</v>
      </c>
      <c r="C321" s="95"/>
      <c r="D321" s="96"/>
      <c r="E321" s="97"/>
    </row>
    <row r="322" spans="1:5" x14ac:dyDescent="0.2">
      <c r="A322" s="93"/>
      <c r="B322" s="94">
        <f t="shared" si="9"/>
        <v>0</v>
      </c>
      <c r="C322" s="95"/>
      <c r="D322" s="96"/>
      <c r="E322" s="97"/>
    </row>
    <row r="323" spans="1:5" x14ac:dyDescent="0.2">
      <c r="A323" s="93"/>
      <c r="B323" s="94">
        <f t="shared" si="9"/>
        <v>0</v>
      </c>
      <c r="C323" s="95"/>
      <c r="D323" s="96"/>
      <c r="E323" s="97"/>
    </row>
    <row r="324" spans="1:5" x14ac:dyDescent="0.2">
      <c r="A324" s="93"/>
      <c r="B324" s="94">
        <f t="shared" si="9"/>
        <v>0</v>
      </c>
      <c r="C324" s="95"/>
      <c r="D324" s="96"/>
      <c r="E324" s="97"/>
    </row>
    <row r="325" spans="1:5" x14ac:dyDescent="0.2">
      <c r="A325" s="93"/>
      <c r="B325" s="94">
        <f t="shared" si="9"/>
        <v>0</v>
      </c>
      <c r="C325" s="95"/>
      <c r="D325" s="96"/>
      <c r="E325" s="97"/>
    </row>
    <row r="326" spans="1:5" x14ac:dyDescent="0.2">
      <c r="A326" s="93"/>
      <c r="B326" s="94">
        <f t="shared" si="9"/>
        <v>0</v>
      </c>
      <c r="C326" s="95"/>
      <c r="D326" s="96"/>
      <c r="E326" s="97"/>
    </row>
    <row r="327" spans="1:5" x14ac:dyDescent="0.2">
      <c r="A327" s="93"/>
      <c r="B327" s="94">
        <f t="shared" si="9"/>
        <v>0</v>
      </c>
      <c r="C327" s="95"/>
      <c r="D327" s="96"/>
      <c r="E327" s="97"/>
    </row>
    <row r="328" spans="1:5" x14ac:dyDescent="0.2">
      <c r="A328" s="93"/>
      <c r="B328" s="94">
        <f t="shared" si="9"/>
        <v>0</v>
      </c>
      <c r="C328" s="95"/>
      <c r="D328" s="96"/>
      <c r="E328" s="97"/>
    </row>
    <row r="329" spans="1:5" x14ac:dyDescent="0.2">
      <c r="A329" s="93"/>
      <c r="B329" s="94">
        <f t="shared" si="9"/>
        <v>0</v>
      </c>
      <c r="C329" s="95"/>
      <c r="D329" s="96"/>
      <c r="E329" s="97"/>
    </row>
    <row r="330" spans="1:5" x14ac:dyDescent="0.2">
      <c r="A330" s="93"/>
      <c r="B330" s="94">
        <f t="shared" si="9"/>
        <v>0</v>
      </c>
      <c r="C330" s="95"/>
      <c r="D330" s="96"/>
      <c r="E330" s="97"/>
    </row>
    <row r="331" spans="1:5" x14ac:dyDescent="0.2">
      <c r="A331" s="93"/>
      <c r="B331" s="94">
        <f t="shared" si="9"/>
        <v>0</v>
      </c>
      <c r="C331" s="95"/>
      <c r="D331" s="96"/>
      <c r="E331" s="97"/>
    </row>
    <row r="332" spans="1:5" x14ac:dyDescent="0.2">
      <c r="A332" s="93"/>
      <c r="B332" s="94">
        <f t="shared" si="9"/>
        <v>0</v>
      </c>
      <c r="C332" s="95"/>
      <c r="D332" s="96"/>
      <c r="E332" s="97"/>
    </row>
    <row r="333" spans="1:5" x14ac:dyDescent="0.2">
      <c r="A333" s="93"/>
      <c r="B333" s="94">
        <f t="shared" si="9"/>
        <v>0</v>
      </c>
      <c r="C333" s="95"/>
      <c r="D333" s="96"/>
      <c r="E333" s="97"/>
    </row>
    <row r="334" spans="1:5" x14ac:dyDescent="0.2">
      <c r="A334" s="93"/>
      <c r="B334" s="94">
        <f t="shared" si="9"/>
        <v>0</v>
      </c>
      <c r="C334" s="95"/>
      <c r="D334" s="96"/>
      <c r="E334" s="97"/>
    </row>
    <row r="335" spans="1:5" x14ac:dyDescent="0.2">
      <c r="A335" s="93"/>
      <c r="B335" s="94">
        <f t="shared" si="9"/>
        <v>0</v>
      </c>
      <c r="C335" s="95"/>
      <c r="D335" s="96"/>
      <c r="E335" s="97"/>
    </row>
    <row r="336" spans="1:5" x14ac:dyDescent="0.2">
      <c r="A336" s="93"/>
      <c r="B336" s="94">
        <f t="shared" si="9"/>
        <v>0</v>
      </c>
      <c r="C336" s="95"/>
      <c r="D336" s="96"/>
      <c r="E336" s="97"/>
    </row>
    <row r="337" spans="1:5" x14ac:dyDescent="0.2">
      <c r="A337" s="93"/>
      <c r="B337" s="94">
        <f t="shared" si="9"/>
        <v>0</v>
      </c>
      <c r="C337" s="95"/>
      <c r="D337" s="96"/>
      <c r="E337" s="97"/>
    </row>
    <row r="338" spans="1:5" x14ac:dyDescent="0.2">
      <c r="A338" s="93"/>
      <c r="B338" s="94">
        <f t="shared" si="9"/>
        <v>0</v>
      </c>
      <c r="C338" s="95"/>
      <c r="D338" s="96"/>
      <c r="E338" s="97"/>
    </row>
    <row r="339" spans="1:5" x14ac:dyDescent="0.2">
      <c r="A339" s="93"/>
      <c r="B339" s="94">
        <f t="shared" si="9"/>
        <v>0</v>
      </c>
      <c r="C339" s="95"/>
      <c r="D339" s="96"/>
      <c r="E339" s="97"/>
    </row>
    <row r="340" spans="1:5" x14ac:dyDescent="0.2">
      <c r="A340" s="93"/>
      <c r="B340" s="94">
        <f t="shared" si="9"/>
        <v>0</v>
      </c>
      <c r="C340" s="95"/>
      <c r="D340" s="96"/>
      <c r="E340" s="97"/>
    </row>
    <row r="341" spans="1:5" x14ac:dyDescent="0.2">
      <c r="A341" s="93"/>
      <c r="B341" s="94">
        <f t="shared" si="9"/>
        <v>0</v>
      </c>
      <c r="C341" s="95"/>
      <c r="D341" s="96"/>
      <c r="E341" s="97"/>
    </row>
    <row r="342" spans="1:5" x14ac:dyDescent="0.2">
      <c r="A342" s="93"/>
      <c r="B342" s="94">
        <f t="shared" si="9"/>
        <v>0</v>
      </c>
      <c r="C342" s="95"/>
      <c r="D342" s="96"/>
      <c r="E342" s="97"/>
    </row>
    <row r="343" spans="1:5" x14ac:dyDescent="0.2">
      <c r="A343" s="93"/>
      <c r="B343" s="94">
        <f t="shared" si="9"/>
        <v>0</v>
      </c>
      <c r="C343" s="95"/>
      <c r="D343" s="96"/>
      <c r="E343" s="97"/>
    </row>
    <row r="344" spans="1:5" x14ac:dyDescent="0.2">
      <c r="A344" s="93"/>
      <c r="B344" s="94">
        <f t="shared" si="9"/>
        <v>0</v>
      </c>
      <c r="C344" s="95"/>
      <c r="D344" s="96"/>
      <c r="E344" s="97"/>
    </row>
    <row r="345" spans="1:5" x14ac:dyDescent="0.2">
      <c r="A345" s="93"/>
      <c r="B345" s="94">
        <f t="shared" si="9"/>
        <v>0</v>
      </c>
      <c r="C345" s="95"/>
      <c r="D345" s="96"/>
      <c r="E345" s="97"/>
    </row>
    <row r="346" spans="1:5" x14ac:dyDescent="0.2">
      <c r="A346" s="93"/>
      <c r="B346" s="94">
        <f t="shared" si="9"/>
        <v>0</v>
      </c>
      <c r="C346" s="95"/>
      <c r="D346" s="96"/>
      <c r="E346" s="97"/>
    </row>
    <row r="347" spans="1:5" x14ac:dyDescent="0.2">
      <c r="A347" s="93"/>
      <c r="B347" s="94">
        <f t="shared" si="9"/>
        <v>0</v>
      </c>
      <c r="C347" s="95"/>
      <c r="D347" s="96"/>
      <c r="E347" s="97"/>
    </row>
    <row r="348" spans="1:5" x14ac:dyDescent="0.2">
      <c r="A348" s="93"/>
      <c r="B348" s="94">
        <f t="shared" si="9"/>
        <v>0</v>
      </c>
      <c r="C348" s="95"/>
      <c r="D348" s="96"/>
      <c r="E348" s="97"/>
    </row>
    <row r="349" spans="1:5" x14ac:dyDescent="0.2">
      <c r="A349" s="93"/>
      <c r="B349" s="94">
        <f t="shared" si="9"/>
        <v>0</v>
      </c>
      <c r="C349" s="95"/>
      <c r="D349" s="96"/>
      <c r="E349" s="97"/>
    </row>
    <row r="350" spans="1:5" x14ac:dyDescent="0.2">
      <c r="A350" s="93"/>
      <c r="B350" s="94">
        <f t="shared" si="9"/>
        <v>0</v>
      </c>
      <c r="C350" s="95"/>
      <c r="D350" s="96"/>
      <c r="E350" s="97"/>
    </row>
    <row r="351" spans="1:5" x14ac:dyDescent="0.2">
      <c r="A351" s="93"/>
      <c r="B351" s="94">
        <f t="shared" si="9"/>
        <v>0</v>
      </c>
      <c r="C351" s="95"/>
      <c r="D351" s="96"/>
      <c r="E351" s="97"/>
    </row>
    <row r="352" spans="1:5" x14ac:dyDescent="0.2">
      <c r="A352" s="93"/>
      <c r="B352" s="94">
        <f t="shared" si="9"/>
        <v>0</v>
      </c>
      <c r="C352" s="95"/>
      <c r="D352" s="96"/>
      <c r="E352" s="97"/>
    </row>
    <row r="353" spans="1:5" x14ac:dyDescent="0.2">
      <c r="A353" s="93"/>
      <c r="B353" s="94">
        <f t="shared" si="9"/>
        <v>0</v>
      </c>
      <c r="C353" s="95"/>
      <c r="D353" s="96"/>
      <c r="E353" s="97"/>
    </row>
    <row r="354" spans="1:5" x14ac:dyDescent="0.2">
      <c r="A354" s="93"/>
      <c r="B354" s="94">
        <f t="shared" si="9"/>
        <v>0</v>
      </c>
      <c r="C354" s="95"/>
      <c r="D354" s="96"/>
      <c r="E354" s="97"/>
    </row>
    <row r="355" spans="1:5" x14ac:dyDescent="0.2">
      <c r="A355" s="93"/>
      <c r="B355" s="94">
        <f t="shared" si="9"/>
        <v>0</v>
      </c>
      <c r="C355" s="95"/>
      <c r="D355" s="96"/>
      <c r="E355" s="97"/>
    </row>
    <row r="356" spans="1:5" x14ac:dyDescent="0.2">
      <c r="A356" s="93"/>
      <c r="B356" s="94">
        <f t="shared" si="9"/>
        <v>0</v>
      </c>
      <c r="C356" s="95"/>
      <c r="D356" s="96"/>
      <c r="E356" s="97"/>
    </row>
    <row r="357" spans="1:5" x14ac:dyDescent="0.2">
      <c r="A357" s="93"/>
      <c r="B357" s="94">
        <f t="shared" si="9"/>
        <v>0</v>
      </c>
      <c r="C357" s="95"/>
      <c r="D357" s="96"/>
      <c r="E357" s="97"/>
    </row>
    <row r="358" spans="1:5" x14ac:dyDescent="0.2">
      <c r="A358" s="93"/>
      <c r="B358" s="94">
        <f t="shared" si="9"/>
        <v>0</v>
      </c>
      <c r="C358" s="95"/>
      <c r="D358" s="96"/>
      <c r="E358" s="97"/>
    </row>
    <row r="359" spans="1:5" x14ac:dyDescent="0.2">
      <c r="A359" s="93"/>
      <c r="B359" s="94">
        <f t="shared" si="9"/>
        <v>0</v>
      </c>
      <c r="C359" s="95"/>
      <c r="D359" s="96"/>
      <c r="E359" s="97"/>
    </row>
    <row r="360" spans="1:5" x14ac:dyDescent="0.2">
      <c r="A360" s="93"/>
      <c r="B360" s="94">
        <f t="shared" si="9"/>
        <v>0</v>
      </c>
      <c r="C360" s="95"/>
      <c r="D360" s="96"/>
      <c r="E360" s="97"/>
    </row>
    <row r="361" spans="1:5" x14ac:dyDescent="0.2">
      <c r="A361" s="93"/>
      <c r="B361" s="94">
        <f t="shared" si="9"/>
        <v>0</v>
      </c>
      <c r="C361" s="95"/>
      <c r="D361" s="96"/>
      <c r="E361" s="97"/>
    </row>
    <row r="362" spans="1:5" x14ac:dyDescent="0.2">
      <c r="A362" s="93"/>
      <c r="B362" s="94">
        <f t="shared" si="9"/>
        <v>0</v>
      </c>
      <c r="C362" s="95"/>
      <c r="D362" s="96"/>
      <c r="E362" s="97"/>
    </row>
    <row r="363" spans="1:5" x14ac:dyDescent="0.2">
      <c r="A363" s="93"/>
      <c r="B363" s="94">
        <f t="shared" si="9"/>
        <v>0</v>
      </c>
      <c r="C363" s="95"/>
      <c r="D363" s="96"/>
      <c r="E363" s="97"/>
    </row>
    <row r="364" spans="1:5" x14ac:dyDescent="0.2">
      <c r="A364" s="93"/>
      <c r="B364" s="94">
        <f t="shared" si="9"/>
        <v>0</v>
      </c>
      <c r="C364" s="95"/>
      <c r="D364" s="96"/>
      <c r="E364" s="97"/>
    </row>
    <row r="365" spans="1:5" x14ac:dyDescent="0.2">
      <c r="A365" s="93"/>
      <c r="B365" s="94">
        <f t="shared" si="9"/>
        <v>0</v>
      </c>
      <c r="C365" s="95"/>
      <c r="D365" s="96"/>
      <c r="E365" s="97"/>
    </row>
    <row r="366" spans="1:5" x14ac:dyDescent="0.2">
      <c r="A366" s="93"/>
      <c r="B366" s="94">
        <f t="shared" si="9"/>
        <v>0</v>
      </c>
      <c r="C366" s="95"/>
      <c r="D366" s="96"/>
      <c r="E366" s="97"/>
    </row>
    <row r="367" spans="1:5" x14ac:dyDescent="0.2">
      <c r="A367" s="93"/>
      <c r="B367" s="94">
        <f t="shared" si="9"/>
        <v>0</v>
      </c>
      <c r="C367" s="95"/>
      <c r="D367" s="96"/>
      <c r="E367" s="97"/>
    </row>
    <row r="368" spans="1:5" x14ac:dyDescent="0.2">
      <c r="A368" s="93"/>
      <c r="B368" s="94">
        <f t="shared" si="9"/>
        <v>0</v>
      </c>
      <c r="C368" s="95"/>
      <c r="D368" s="96"/>
      <c r="E368" s="97"/>
    </row>
    <row r="369" spans="1:5" x14ac:dyDescent="0.2">
      <c r="A369" s="93"/>
      <c r="B369" s="94">
        <f t="shared" si="9"/>
        <v>0</v>
      </c>
      <c r="C369" s="95"/>
      <c r="D369" s="96"/>
      <c r="E369" s="97"/>
    </row>
    <row r="370" spans="1:5" x14ac:dyDescent="0.2">
      <c r="A370" s="93"/>
      <c r="B370" s="94">
        <f t="shared" si="9"/>
        <v>0</v>
      </c>
      <c r="C370" s="95"/>
      <c r="D370" s="96"/>
      <c r="E370" s="97"/>
    </row>
    <row r="371" spans="1:5" x14ac:dyDescent="0.2">
      <c r="A371" s="93"/>
      <c r="B371" s="94">
        <f t="shared" si="9"/>
        <v>0</v>
      </c>
      <c r="C371" s="95"/>
      <c r="D371" s="96"/>
      <c r="E371" s="97"/>
    </row>
    <row r="372" spans="1:5" x14ac:dyDescent="0.2">
      <c r="A372" s="93"/>
      <c r="B372" s="94">
        <f t="shared" si="9"/>
        <v>0</v>
      </c>
      <c r="C372" s="95"/>
      <c r="D372" s="96"/>
      <c r="E372" s="97"/>
    </row>
    <row r="373" spans="1:5" x14ac:dyDescent="0.2">
      <c r="A373" s="93"/>
      <c r="B373" s="94">
        <f t="shared" si="9"/>
        <v>0</v>
      </c>
      <c r="C373" s="95"/>
      <c r="D373" s="96"/>
      <c r="E373" s="97"/>
    </row>
    <row r="374" spans="1:5" x14ac:dyDescent="0.2">
      <c r="A374" s="93"/>
      <c r="B374" s="94">
        <f t="shared" si="9"/>
        <v>0</v>
      </c>
      <c r="C374" s="95"/>
      <c r="D374" s="96"/>
      <c r="E374" s="97"/>
    </row>
    <row r="375" spans="1:5" x14ac:dyDescent="0.2">
      <c r="A375" s="93"/>
      <c r="B375" s="94">
        <f t="shared" si="9"/>
        <v>0</v>
      </c>
      <c r="C375" s="95"/>
      <c r="D375" s="96"/>
      <c r="E375" s="97"/>
    </row>
    <row r="376" spans="1:5" x14ac:dyDescent="0.2">
      <c r="A376" s="93"/>
      <c r="B376" s="94">
        <f t="shared" si="9"/>
        <v>0</v>
      </c>
      <c r="C376" s="95"/>
      <c r="D376" s="96"/>
      <c r="E376" s="97"/>
    </row>
    <row r="377" spans="1:5" x14ac:dyDescent="0.2">
      <c r="A377" s="93"/>
      <c r="B377" s="94">
        <f t="shared" si="9"/>
        <v>0</v>
      </c>
      <c r="C377" s="95"/>
      <c r="D377" s="96"/>
      <c r="E377" s="97"/>
    </row>
    <row r="378" spans="1:5" x14ac:dyDescent="0.2">
      <c r="A378" s="93"/>
      <c r="B378" s="94">
        <f t="shared" si="9"/>
        <v>0</v>
      </c>
      <c r="C378" s="95"/>
      <c r="D378" s="96"/>
      <c r="E378" s="97"/>
    </row>
    <row r="379" spans="1:5" x14ac:dyDescent="0.2">
      <c r="A379" s="93"/>
      <c r="B379" s="94">
        <f t="shared" si="9"/>
        <v>0</v>
      </c>
      <c r="C379" s="95"/>
      <c r="D379" s="96"/>
      <c r="E379" s="97"/>
    </row>
    <row r="380" spans="1:5" x14ac:dyDescent="0.2">
      <c r="A380" s="93"/>
      <c r="B380" s="94">
        <f t="shared" si="9"/>
        <v>0</v>
      </c>
      <c r="C380" s="95"/>
      <c r="D380" s="96"/>
      <c r="E380" s="97"/>
    </row>
    <row r="381" spans="1:5" x14ac:dyDescent="0.2">
      <c r="A381" s="93"/>
      <c r="B381" s="94">
        <f t="shared" si="9"/>
        <v>0</v>
      </c>
      <c r="C381" s="95"/>
      <c r="D381" s="96"/>
      <c r="E381" s="97"/>
    </row>
    <row r="382" spans="1:5" x14ac:dyDescent="0.2">
      <c r="A382" s="93"/>
      <c r="B382" s="94">
        <f t="shared" ref="B382:B445" si="10">WEEKNUM(A382,1)</f>
        <v>0</v>
      </c>
      <c r="C382" s="95"/>
      <c r="D382" s="96"/>
      <c r="E382" s="97"/>
    </row>
    <row r="383" spans="1:5" x14ac:dyDescent="0.2">
      <c r="A383" s="93"/>
      <c r="B383" s="94">
        <f t="shared" si="10"/>
        <v>0</v>
      </c>
      <c r="C383" s="95"/>
      <c r="D383" s="96"/>
      <c r="E383" s="97"/>
    </row>
    <row r="384" spans="1:5" x14ac:dyDescent="0.2">
      <c r="A384" s="93"/>
      <c r="B384" s="94">
        <f t="shared" si="10"/>
        <v>0</v>
      </c>
      <c r="C384" s="95"/>
      <c r="D384" s="96"/>
      <c r="E384" s="97"/>
    </row>
    <row r="385" spans="1:5" x14ac:dyDescent="0.2">
      <c r="A385" s="93"/>
      <c r="B385" s="94">
        <f t="shared" si="10"/>
        <v>0</v>
      </c>
      <c r="C385" s="95"/>
      <c r="D385" s="96"/>
      <c r="E385" s="97"/>
    </row>
    <row r="386" spans="1:5" x14ac:dyDescent="0.2">
      <c r="A386" s="93"/>
      <c r="B386" s="94">
        <f t="shared" si="10"/>
        <v>0</v>
      </c>
      <c r="C386" s="95"/>
      <c r="D386" s="96"/>
      <c r="E386" s="97"/>
    </row>
    <row r="387" spans="1:5" x14ac:dyDescent="0.2">
      <c r="A387" s="93"/>
      <c r="B387" s="94">
        <f t="shared" si="10"/>
        <v>0</v>
      </c>
      <c r="C387" s="95"/>
      <c r="D387" s="96"/>
      <c r="E387" s="97"/>
    </row>
    <row r="388" spans="1:5" x14ac:dyDescent="0.2">
      <c r="A388" s="93"/>
      <c r="B388" s="94">
        <f t="shared" si="10"/>
        <v>0</v>
      </c>
      <c r="C388" s="95"/>
      <c r="D388" s="96"/>
      <c r="E388" s="97"/>
    </row>
    <row r="389" spans="1:5" x14ac:dyDescent="0.2">
      <c r="A389" s="93"/>
      <c r="B389" s="94">
        <f t="shared" si="10"/>
        <v>0</v>
      </c>
      <c r="C389" s="95"/>
      <c r="D389" s="96"/>
      <c r="E389" s="97"/>
    </row>
    <row r="390" spans="1:5" x14ac:dyDescent="0.2">
      <c r="A390" s="93"/>
      <c r="B390" s="94">
        <f t="shared" si="10"/>
        <v>0</v>
      </c>
      <c r="C390" s="95"/>
      <c r="D390" s="96"/>
      <c r="E390" s="97"/>
    </row>
    <row r="391" spans="1:5" x14ac:dyDescent="0.2">
      <c r="A391" s="93"/>
      <c r="B391" s="94">
        <f t="shared" si="10"/>
        <v>0</v>
      </c>
      <c r="C391" s="95"/>
      <c r="D391" s="96"/>
      <c r="E391" s="97"/>
    </row>
    <row r="392" spans="1:5" x14ac:dyDescent="0.2">
      <c r="A392" s="93"/>
      <c r="B392" s="94">
        <f t="shared" si="10"/>
        <v>0</v>
      </c>
      <c r="C392" s="95"/>
      <c r="D392" s="96"/>
      <c r="E392" s="97"/>
    </row>
    <row r="393" spans="1:5" x14ac:dyDescent="0.2">
      <c r="A393" s="93"/>
      <c r="B393" s="94">
        <f t="shared" si="10"/>
        <v>0</v>
      </c>
      <c r="C393" s="95"/>
      <c r="D393" s="96"/>
      <c r="E393" s="97"/>
    </row>
    <row r="394" spans="1:5" x14ac:dyDescent="0.2">
      <c r="A394" s="93"/>
      <c r="B394" s="94">
        <f t="shared" si="10"/>
        <v>0</v>
      </c>
      <c r="C394" s="95"/>
      <c r="D394" s="96"/>
      <c r="E394" s="97"/>
    </row>
    <row r="395" spans="1:5" x14ac:dyDescent="0.2">
      <c r="A395" s="93"/>
      <c r="B395" s="94">
        <f t="shared" si="10"/>
        <v>0</v>
      </c>
      <c r="C395" s="95"/>
      <c r="D395" s="96"/>
      <c r="E395" s="97"/>
    </row>
    <row r="396" spans="1:5" x14ac:dyDescent="0.2">
      <c r="A396" s="93"/>
      <c r="B396" s="94">
        <f t="shared" si="10"/>
        <v>0</v>
      </c>
      <c r="C396" s="95"/>
      <c r="D396" s="96"/>
      <c r="E396" s="97"/>
    </row>
    <row r="397" spans="1:5" x14ac:dyDescent="0.2">
      <c r="A397" s="93"/>
      <c r="B397" s="94">
        <f t="shared" si="10"/>
        <v>0</v>
      </c>
      <c r="C397" s="95"/>
      <c r="D397" s="96"/>
      <c r="E397" s="97"/>
    </row>
    <row r="398" spans="1:5" x14ac:dyDescent="0.2">
      <c r="A398" s="93"/>
      <c r="B398" s="94">
        <f t="shared" si="10"/>
        <v>0</v>
      </c>
      <c r="C398" s="95"/>
      <c r="D398" s="96"/>
      <c r="E398" s="97"/>
    </row>
    <row r="399" spans="1:5" x14ac:dyDescent="0.2">
      <c r="A399" s="93"/>
      <c r="B399" s="94">
        <f t="shared" si="10"/>
        <v>0</v>
      </c>
      <c r="C399" s="95"/>
      <c r="D399" s="96"/>
      <c r="E399" s="97"/>
    </row>
    <row r="400" spans="1:5" x14ac:dyDescent="0.2">
      <c r="A400" s="93"/>
      <c r="B400" s="94">
        <f t="shared" si="10"/>
        <v>0</v>
      </c>
      <c r="C400" s="95"/>
      <c r="D400" s="96"/>
      <c r="E400" s="97"/>
    </row>
    <row r="401" spans="1:5" x14ac:dyDescent="0.2">
      <c r="A401" s="93"/>
      <c r="B401" s="94">
        <f t="shared" si="10"/>
        <v>0</v>
      </c>
      <c r="C401" s="95"/>
      <c r="D401" s="96"/>
      <c r="E401" s="97"/>
    </row>
    <row r="402" spans="1:5" x14ac:dyDescent="0.2">
      <c r="A402" s="93"/>
      <c r="B402" s="94">
        <f t="shared" si="10"/>
        <v>0</v>
      </c>
      <c r="C402" s="95"/>
      <c r="D402" s="96"/>
      <c r="E402" s="97"/>
    </row>
    <row r="403" spans="1:5" x14ac:dyDescent="0.2">
      <c r="A403" s="93"/>
      <c r="B403" s="94">
        <f t="shared" si="10"/>
        <v>0</v>
      </c>
      <c r="C403" s="95"/>
      <c r="D403" s="96"/>
      <c r="E403" s="97"/>
    </row>
    <row r="404" spans="1:5" x14ac:dyDescent="0.2">
      <c r="A404" s="93"/>
      <c r="B404" s="94">
        <f t="shared" si="10"/>
        <v>0</v>
      </c>
      <c r="C404" s="95"/>
      <c r="D404" s="96"/>
      <c r="E404" s="97"/>
    </row>
    <row r="405" spans="1:5" x14ac:dyDescent="0.2">
      <c r="A405" s="93"/>
      <c r="B405" s="94">
        <f t="shared" si="10"/>
        <v>0</v>
      </c>
      <c r="C405" s="95"/>
      <c r="D405" s="96"/>
      <c r="E405" s="97"/>
    </row>
    <row r="406" spans="1:5" x14ac:dyDescent="0.2">
      <c r="A406" s="93"/>
      <c r="B406" s="94">
        <f t="shared" si="10"/>
        <v>0</v>
      </c>
      <c r="C406" s="95"/>
      <c r="D406" s="96"/>
      <c r="E406" s="97"/>
    </row>
    <row r="407" spans="1:5" x14ac:dyDescent="0.2">
      <c r="A407" s="93"/>
      <c r="B407" s="94">
        <f t="shared" si="10"/>
        <v>0</v>
      </c>
      <c r="C407" s="95"/>
      <c r="D407" s="96"/>
      <c r="E407" s="97"/>
    </row>
    <row r="408" spans="1:5" x14ac:dyDescent="0.2">
      <c r="A408" s="93"/>
      <c r="B408" s="94">
        <f t="shared" si="10"/>
        <v>0</v>
      </c>
      <c r="C408" s="95"/>
      <c r="D408" s="96"/>
      <c r="E408" s="97"/>
    </row>
    <row r="409" spans="1:5" x14ac:dyDescent="0.2">
      <c r="A409" s="93"/>
      <c r="B409" s="94">
        <f t="shared" si="10"/>
        <v>0</v>
      </c>
      <c r="C409" s="95"/>
      <c r="D409" s="96"/>
      <c r="E409" s="97"/>
    </row>
    <row r="410" spans="1:5" x14ac:dyDescent="0.2">
      <c r="A410" s="93"/>
      <c r="B410" s="94">
        <f t="shared" si="10"/>
        <v>0</v>
      </c>
      <c r="C410" s="95"/>
      <c r="D410" s="96"/>
      <c r="E410" s="97"/>
    </row>
    <row r="411" spans="1:5" x14ac:dyDescent="0.2">
      <c r="A411" s="93"/>
      <c r="B411" s="94">
        <f t="shared" si="10"/>
        <v>0</v>
      </c>
      <c r="C411" s="95"/>
      <c r="D411" s="96"/>
      <c r="E411" s="97"/>
    </row>
    <row r="412" spans="1:5" x14ac:dyDescent="0.2">
      <c r="A412" s="93"/>
      <c r="B412" s="94">
        <f t="shared" si="10"/>
        <v>0</v>
      </c>
      <c r="C412" s="95"/>
      <c r="D412" s="96"/>
      <c r="E412" s="97"/>
    </row>
    <row r="413" spans="1:5" x14ac:dyDescent="0.2">
      <c r="A413" s="93"/>
      <c r="B413" s="94">
        <f t="shared" si="10"/>
        <v>0</v>
      </c>
      <c r="C413" s="95"/>
      <c r="D413" s="96"/>
      <c r="E413" s="97"/>
    </row>
    <row r="414" spans="1:5" x14ac:dyDescent="0.2">
      <c r="A414" s="93"/>
      <c r="B414" s="94">
        <f t="shared" si="10"/>
        <v>0</v>
      </c>
      <c r="C414" s="95"/>
      <c r="D414" s="96"/>
      <c r="E414" s="97"/>
    </row>
    <row r="415" spans="1:5" x14ac:dyDescent="0.2">
      <c r="A415" s="93"/>
      <c r="B415" s="94">
        <f t="shared" si="10"/>
        <v>0</v>
      </c>
      <c r="C415" s="95"/>
      <c r="D415" s="96"/>
      <c r="E415" s="97"/>
    </row>
    <row r="416" spans="1:5" x14ac:dyDescent="0.2">
      <c r="A416" s="93"/>
      <c r="B416" s="94">
        <f t="shared" si="10"/>
        <v>0</v>
      </c>
      <c r="C416" s="95"/>
      <c r="D416" s="96"/>
      <c r="E416" s="97"/>
    </row>
    <row r="417" spans="1:5" x14ac:dyDescent="0.2">
      <c r="A417" s="93"/>
      <c r="B417" s="94">
        <f t="shared" si="10"/>
        <v>0</v>
      </c>
      <c r="C417" s="95"/>
      <c r="D417" s="96"/>
      <c r="E417" s="97"/>
    </row>
    <row r="418" spans="1:5" x14ac:dyDescent="0.2">
      <c r="A418" s="93"/>
      <c r="B418" s="94">
        <f t="shared" si="10"/>
        <v>0</v>
      </c>
      <c r="C418" s="95"/>
      <c r="D418" s="96"/>
      <c r="E418" s="97"/>
    </row>
    <row r="419" spans="1:5" x14ac:dyDescent="0.2">
      <c r="A419" s="93"/>
      <c r="B419" s="94">
        <f t="shared" si="10"/>
        <v>0</v>
      </c>
      <c r="C419" s="95"/>
      <c r="D419" s="96"/>
      <c r="E419" s="97"/>
    </row>
    <row r="420" spans="1:5" x14ac:dyDescent="0.2">
      <c r="A420" s="93"/>
      <c r="B420" s="94">
        <f t="shared" si="10"/>
        <v>0</v>
      </c>
      <c r="C420" s="95"/>
      <c r="D420" s="96"/>
      <c r="E420" s="97"/>
    </row>
    <row r="421" spans="1:5" x14ac:dyDescent="0.2">
      <c r="A421" s="93"/>
      <c r="B421" s="94">
        <f t="shared" si="10"/>
        <v>0</v>
      </c>
      <c r="C421" s="95"/>
      <c r="D421" s="96"/>
      <c r="E421" s="97"/>
    </row>
    <row r="422" spans="1:5" x14ac:dyDescent="0.2">
      <c r="A422" s="93"/>
      <c r="B422" s="94">
        <f t="shared" si="10"/>
        <v>0</v>
      </c>
      <c r="C422" s="95"/>
      <c r="D422" s="96"/>
      <c r="E422" s="97"/>
    </row>
    <row r="423" spans="1:5" x14ac:dyDescent="0.2">
      <c r="A423" s="93"/>
      <c r="B423" s="94">
        <f t="shared" si="10"/>
        <v>0</v>
      </c>
      <c r="C423" s="95"/>
      <c r="D423" s="96"/>
      <c r="E423" s="97"/>
    </row>
    <row r="424" spans="1:5" x14ac:dyDescent="0.2">
      <c r="A424" s="93"/>
      <c r="B424" s="94">
        <f t="shared" si="10"/>
        <v>0</v>
      </c>
      <c r="C424" s="95"/>
      <c r="D424" s="96"/>
      <c r="E424" s="97"/>
    </row>
    <row r="425" spans="1:5" x14ac:dyDescent="0.2">
      <c r="A425" s="93"/>
      <c r="B425" s="94">
        <f t="shared" si="10"/>
        <v>0</v>
      </c>
      <c r="C425" s="95"/>
      <c r="D425" s="96"/>
      <c r="E425" s="97"/>
    </row>
    <row r="426" spans="1:5" x14ac:dyDescent="0.2">
      <c r="A426" s="93"/>
      <c r="B426" s="94">
        <f t="shared" si="10"/>
        <v>0</v>
      </c>
      <c r="C426" s="95"/>
      <c r="D426" s="96"/>
      <c r="E426" s="97"/>
    </row>
    <row r="427" spans="1:5" x14ac:dyDescent="0.2">
      <c r="A427" s="93"/>
      <c r="B427" s="94">
        <f t="shared" si="10"/>
        <v>0</v>
      </c>
      <c r="C427" s="95"/>
      <c r="D427" s="96"/>
      <c r="E427" s="97"/>
    </row>
    <row r="428" spans="1:5" x14ac:dyDescent="0.2">
      <c r="A428" s="93"/>
      <c r="B428" s="94">
        <f t="shared" si="10"/>
        <v>0</v>
      </c>
      <c r="C428" s="95"/>
      <c r="D428" s="96"/>
      <c r="E428" s="97"/>
    </row>
    <row r="429" spans="1:5" x14ac:dyDescent="0.2">
      <c r="A429" s="93"/>
      <c r="B429" s="94">
        <f t="shared" si="10"/>
        <v>0</v>
      </c>
      <c r="C429" s="95"/>
      <c r="D429" s="96"/>
      <c r="E429" s="97"/>
    </row>
    <row r="430" spans="1:5" x14ac:dyDescent="0.2">
      <c r="A430" s="93"/>
      <c r="B430" s="94">
        <f t="shared" si="10"/>
        <v>0</v>
      </c>
      <c r="C430" s="95"/>
      <c r="D430" s="96"/>
      <c r="E430" s="97"/>
    </row>
    <row r="431" spans="1:5" x14ac:dyDescent="0.2">
      <c r="A431" s="93"/>
      <c r="B431" s="94">
        <f t="shared" si="10"/>
        <v>0</v>
      </c>
      <c r="C431" s="95"/>
      <c r="D431" s="96"/>
      <c r="E431" s="97"/>
    </row>
    <row r="432" spans="1:5" x14ac:dyDescent="0.2">
      <c r="A432" s="93"/>
      <c r="B432" s="94">
        <f t="shared" si="10"/>
        <v>0</v>
      </c>
      <c r="C432" s="95"/>
      <c r="D432" s="96"/>
      <c r="E432" s="97"/>
    </row>
    <row r="433" spans="1:5" x14ac:dyDescent="0.2">
      <c r="A433" s="93"/>
      <c r="B433" s="94">
        <f t="shared" si="10"/>
        <v>0</v>
      </c>
      <c r="C433" s="95"/>
      <c r="D433" s="96"/>
      <c r="E433" s="97"/>
    </row>
    <row r="434" spans="1:5" x14ac:dyDescent="0.2">
      <c r="A434" s="93"/>
      <c r="B434" s="94">
        <f t="shared" si="10"/>
        <v>0</v>
      </c>
      <c r="C434" s="95"/>
      <c r="D434" s="96"/>
      <c r="E434" s="97"/>
    </row>
    <row r="435" spans="1:5" x14ac:dyDescent="0.2">
      <c r="A435" s="93"/>
      <c r="B435" s="94">
        <f t="shared" si="10"/>
        <v>0</v>
      </c>
      <c r="C435" s="95"/>
      <c r="D435" s="96"/>
      <c r="E435" s="97"/>
    </row>
    <row r="436" spans="1:5" x14ac:dyDescent="0.2">
      <c r="A436" s="93"/>
      <c r="B436" s="94">
        <f t="shared" si="10"/>
        <v>0</v>
      </c>
      <c r="C436" s="95"/>
      <c r="D436" s="96"/>
      <c r="E436" s="97"/>
    </row>
    <row r="437" spans="1:5" x14ac:dyDescent="0.2">
      <c r="A437" s="93"/>
      <c r="B437" s="94">
        <f t="shared" si="10"/>
        <v>0</v>
      </c>
      <c r="C437" s="95"/>
      <c r="D437" s="96"/>
      <c r="E437" s="97"/>
    </row>
    <row r="438" spans="1:5" x14ac:dyDescent="0.2">
      <c r="A438" s="93"/>
      <c r="B438" s="94">
        <f t="shared" si="10"/>
        <v>0</v>
      </c>
      <c r="C438" s="95"/>
      <c r="D438" s="96"/>
      <c r="E438" s="97"/>
    </row>
    <row r="439" spans="1:5" x14ac:dyDescent="0.2">
      <c r="A439" s="93"/>
      <c r="B439" s="94">
        <f t="shared" si="10"/>
        <v>0</v>
      </c>
      <c r="C439" s="95"/>
      <c r="D439" s="96"/>
      <c r="E439" s="97"/>
    </row>
    <row r="440" spans="1:5" x14ac:dyDescent="0.2">
      <c r="A440" s="93"/>
      <c r="B440" s="94">
        <f t="shared" si="10"/>
        <v>0</v>
      </c>
      <c r="C440" s="95"/>
      <c r="D440" s="96"/>
      <c r="E440" s="97"/>
    </row>
    <row r="441" spans="1:5" x14ac:dyDescent="0.2">
      <c r="A441" s="93"/>
      <c r="B441" s="94">
        <f t="shared" si="10"/>
        <v>0</v>
      </c>
      <c r="C441" s="95"/>
      <c r="D441" s="96"/>
      <c r="E441" s="97"/>
    </row>
    <row r="442" spans="1:5" x14ac:dyDescent="0.2">
      <c r="A442" s="93"/>
      <c r="B442" s="94">
        <f t="shared" si="10"/>
        <v>0</v>
      </c>
      <c r="C442" s="95"/>
      <c r="D442" s="96"/>
      <c r="E442" s="97"/>
    </row>
    <row r="443" spans="1:5" x14ac:dyDescent="0.2">
      <c r="A443" s="93"/>
      <c r="B443" s="94">
        <f t="shared" si="10"/>
        <v>0</v>
      </c>
      <c r="C443" s="95"/>
      <c r="D443" s="96"/>
      <c r="E443" s="97"/>
    </row>
    <row r="444" spans="1:5" x14ac:dyDescent="0.2">
      <c r="A444" s="93"/>
      <c r="B444" s="94">
        <f t="shared" si="10"/>
        <v>0</v>
      </c>
      <c r="C444" s="95"/>
      <c r="D444" s="96"/>
      <c r="E444" s="97"/>
    </row>
    <row r="445" spans="1:5" x14ac:dyDescent="0.2">
      <c r="A445" s="93"/>
      <c r="B445" s="94">
        <f t="shared" si="10"/>
        <v>0</v>
      </c>
      <c r="C445" s="95"/>
      <c r="D445" s="96"/>
      <c r="E445" s="97"/>
    </row>
    <row r="446" spans="1:5" x14ac:dyDescent="0.2">
      <c r="A446" s="93"/>
      <c r="B446" s="94">
        <f t="shared" ref="B446:B509" si="11">WEEKNUM(A446,1)</f>
        <v>0</v>
      </c>
      <c r="C446" s="95"/>
      <c r="D446" s="96"/>
      <c r="E446" s="97"/>
    </row>
    <row r="447" spans="1:5" x14ac:dyDescent="0.2">
      <c r="A447" s="93"/>
      <c r="B447" s="94">
        <f t="shared" si="11"/>
        <v>0</v>
      </c>
      <c r="C447" s="95"/>
      <c r="D447" s="96"/>
      <c r="E447" s="97"/>
    </row>
    <row r="448" spans="1:5" x14ac:dyDescent="0.2">
      <c r="A448" s="93"/>
      <c r="B448" s="94">
        <f t="shared" si="11"/>
        <v>0</v>
      </c>
      <c r="C448" s="95"/>
      <c r="D448" s="96"/>
      <c r="E448" s="97"/>
    </row>
    <row r="449" spans="1:5" x14ac:dyDescent="0.2">
      <c r="A449" s="93"/>
      <c r="B449" s="94">
        <f t="shared" si="11"/>
        <v>0</v>
      </c>
      <c r="C449" s="95"/>
      <c r="D449" s="96"/>
      <c r="E449" s="97"/>
    </row>
    <row r="450" spans="1:5" x14ac:dyDescent="0.2">
      <c r="A450" s="93"/>
      <c r="B450" s="94">
        <f t="shared" si="11"/>
        <v>0</v>
      </c>
      <c r="C450" s="95"/>
      <c r="D450" s="96"/>
      <c r="E450" s="97"/>
    </row>
    <row r="451" spans="1:5" x14ac:dyDescent="0.2">
      <c r="A451" s="90"/>
      <c r="B451" s="91">
        <f t="shared" si="11"/>
        <v>0</v>
      </c>
      <c r="C451" s="95"/>
      <c r="D451" s="92"/>
      <c r="E451" s="97"/>
    </row>
    <row r="452" spans="1:5" x14ac:dyDescent="0.2">
      <c r="A452" s="90"/>
      <c r="B452" s="91">
        <f t="shared" si="11"/>
        <v>0</v>
      </c>
      <c r="C452" s="95"/>
      <c r="D452" s="92"/>
      <c r="E452" s="97"/>
    </row>
    <row r="453" spans="1:5" x14ac:dyDescent="0.2">
      <c r="A453" s="90"/>
      <c r="B453" s="91">
        <f t="shared" si="11"/>
        <v>0</v>
      </c>
      <c r="C453" s="95"/>
      <c r="D453" s="92"/>
      <c r="E453" s="97"/>
    </row>
    <row r="454" spans="1:5" x14ac:dyDescent="0.2">
      <c r="A454" s="90"/>
      <c r="B454" s="91">
        <f t="shared" si="11"/>
        <v>0</v>
      </c>
      <c r="C454" s="95"/>
      <c r="D454" s="92"/>
      <c r="E454" s="97"/>
    </row>
    <row r="455" spans="1:5" x14ac:dyDescent="0.2">
      <c r="A455" s="90"/>
      <c r="B455" s="91">
        <f t="shared" si="11"/>
        <v>0</v>
      </c>
      <c r="C455" s="95"/>
      <c r="D455" s="92"/>
      <c r="E455" s="97"/>
    </row>
    <row r="456" spans="1:5" x14ac:dyDescent="0.2">
      <c r="A456" s="90"/>
      <c r="B456" s="91">
        <f t="shared" si="11"/>
        <v>0</v>
      </c>
      <c r="C456" s="95"/>
      <c r="D456" s="92"/>
      <c r="E456" s="97"/>
    </row>
    <row r="457" spans="1:5" x14ac:dyDescent="0.2">
      <c r="A457" s="90"/>
      <c r="B457" s="91">
        <f t="shared" si="11"/>
        <v>0</v>
      </c>
      <c r="C457" s="95"/>
      <c r="D457" s="92"/>
      <c r="E457" s="97"/>
    </row>
    <row r="458" spans="1:5" x14ac:dyDescent="0.2">
      <c r="A458" s="90"/>
      <c r="B458" s="91">
        <f t="shared" si="11"/>
        <v>0</v>
      </c>
      <c r="C458" s="95"/>
      <c r="D458" s="92"/>
      <c r="E458" s="97"/>
    </row>
    <row r="459" spans="1:5" x14ac:dyDescent="0.2">
      <c r="A459" s="90"/>
      <c r="B459" s="91">
        <f t="shared" si="11"/>
        <v>0</v>
      </c>
      <c r="C459" s="95"/>
      <c r="D459" s="92"/>
      <c r="E459" s="97"/>
    </row>
    <row r="460" spans="1:5" x14ac:dyDescent="0.2">
      <c r="A460" s="90"/>
      <c r="B460" s="91">
        <f t="shared" si="11"/>
        <v>0</v>
      </c>
      <c r="C460" s="95"/>
      <c r="D460" s="92"/>
      <c r="E460" s="97"/>
    </row>
    <row r="461" spans="1:5" x14ac:dyDescent="0.2">
      <c r="A461" s="90"/>
      <c r="B461" s="91">
        <f t="shared" si="11"/>
        <v>0</v>
      </c>
      <c r="C461" s="95"/>
      <c r="D461" s="92"/>
      <c r="E461" s="97"/>
    </row>
    <row r="462" spans="1:5" x14ac:dyDescent="0.2">
      <c r="A462" s="90"/>
      <c r="B462" s="91">
        <f t="shared" si="11"/>
        <v>0</v>
      </c>
      <c r="C462" s="95"/>
      <c r="D462" s="92"/>
      <c r="E462" s="97"/>
    </row>
    <row r="463" spans="1:5" x14ac:dyDescent="0.2">
      <c r="A463" s="90"/>
      <c r="B463" s="91">
        <f t="shared" si="11"/>
        <v>0</v>
      </c>
      <c r="C463" s="95"/>
      <c r="D463" s="92"/>
      <c r="E463" s="97"/>
    </row>
    <row r="464" spans="1:5" x14ac:dyDescent="0.2">
      <c r="A464" s="90"/>
      <c r="B464" s="91">
        <f t="shared" si="11"/>
        <v>0</v>
      </c>
      <c r="C464" s="95"/>
      <c r="D464" s="92"/>
      <c r="E464" s="97"/>
    </row>
    <row r="465" spans="1:5" x14ac:dyDescent="0.2">
      <c r="A465" s="90"/>
      <c r="B465" s="91">
        <f t="shared" si="11"/>
        <v>0</v>
      </c>
      <c r="C465" s="95"/>
      <c r="D465" s="92"/>
      <c r="E465" s="97"/>
    </row>
    <row r="466" spans="1:5" x14ac:dyDescent="0.2">
      <c r="A466" s="90"/>
      <c r="B466" s="91">
        <f t="shared" si="11"/>
        <v>0</v>
      </c>
      <c r="C466" s="95"/>
      <c r="D466" s="92"/>
      <c r="E466" s="97"/>
    </row>
    <row r="467" spans="1:5" x14ac:dyDescent="0.2">
      <c r="A467" s="90"/>
      <c r="B467" s="91">
        <f t="shared" si="11"/>
        <v>0</v>
      </c>
      <c r="C467" s="95"/>
      <c r="D467" s="92"/>
      <c r="E467" s="97"/>
    </row>
    <row r="468" spans="1:5" x14ac:dyDescent="0.2">
      <c r="A468" s="90"/>
      <c r="B468" s="91">
        <f t="shared" si="11"/>
        <v>0</v>
      </c>
      <c r="C468" s="95"/>
      <c r="D468" s="92"/>
      <c r="E468" s="97"/>
    </row>
    <row r="469" spans="1:5" x14ac:dyDescent="0.2">
      <c r="A469" s="90"/>
      <c r="B469" s="91">
        <f t="shared" si="11"/>
        <v>0</v>
      </c>
      <c r="C469" s="95"/>
      <c r="D469" s="92"/>
      <c r="E469" s="97"/>
    </row>
    <row r="470" spans="1:5" x14ac:dyDescent="0.2">
      <c r="A470" s="90"/>
      <c r="B470" s="91">
        <f t="shared" si="11"/>
        <v>0</v>
      </c>
      <c r="C470" s="95"/>
      <c r="D470" s="92"/>
      <c r="E470" s="97"/>
    </row>
    <row r="471" spans="1:5" x14ac:dyDescent="0.2">
      <c r="A471" s="90"/>
      <c r="B471" s="91">
        <f t="shared" si="11"/>
        <v>0</v>
      </c>
      <c r="C471" s="95"/>
      <c r="D471" s="92"/>
      <c r="E471" s="97"/>
    </row>
    <row r="472" spans="1:5" x14ac:dyDescent="0.2">
      <c r="A472" s="90"/>
      <c r="B472" s="91">
        <f t="shared" si="11"/>
        <v>0</v>
      </c>
      <c r="C472" s="95"/>
      <c r="D472" s="92"/>
      <c r="E472" s="97"/>
    </row>
    <row r="473" spans="1:5" x14ac:dyDescent="0.2">
      <c r="A473" s="90"/>
      <c r="B473" s="91">
        <f t="shared" si="11"/>
        <v>0</v>
      </c>
      <c r="C473" s="95"/>
      <c r="D473" s="92"/>
      <c r="E473" s="97"/>
    </row>
    <row r="474" spans="1:5" x14ac:dyDescent="0.2">
      <c r="A474" s="90"/>
      <c r="B474" s="91">
        <f t="shared" si="11"/>
        <v>0</v>
      </c>
      <c r="C474" s="95"/>
      <c r="D474" s="92"/>
      <c r="E474" s="97"/>
    </row>
    <row r="475" spans="1:5" x14ac:dyDescent="0.2">
      <c r="A475" s="90"/>
      <c r="B475" s="91">
        <f t="shared" si="11"/>
        <v>0</v>
      </c>
      <c r="C475" s="95"/>
      <c r="D475" s="92"/>
      <c r="E475" s="97"/>
    </row>
    <row r="476" spans="1:5" x14ac:dyDescent="0.2">
      <c r="A476" s="90"/>
      <c r="B476" s="91">
        <f t="shared" si="11"/>
        <v>0</v>
      </c>
      <c r="C476" s="95"/>
      <c r="D476" s="92"/>
      <c r="E476" s="97"/>
    </row>
    <row r="477" spans="1:5" x14ac:dyDescent="0.2">
      <c r="A477" s="90"/>
      <c r="B477" s="91">
        <f t="shared" si="11"/>
        <v>0</v>
      </c>
      <c r="C477" s="95"/>
      <c r="D477" s="92"/>
      <c r="E477" s="97"/>
    </row>
    <row r="478" spans="1:5" x14ac:dyDescent="0.2">
      <c r="A478" s="90"/>
      <c r="B478" s="91">
        <f t="shared" si="11"/>
        <v>0</v>
      </c>
      <c r="C478" s="95"/>
      <c r="D478" s="92"/>
      <c r="E478" s="97"/>
    </row>
    <row r="479" spans="1:5" x14ac:dyDescent="0.2">
      <c r="A479" s="90"/>
      <c r="B479" s="91">
        <f t="shared" si="11"/>
        <v>0</v>
      </c>
      <c r="C479" s="95"/>
      <c r="D479" s="92"/>
      <c r="E479" s="97"/>
    </row>
    <row r="480" spans="1:5" x14ac:dyDescent="0.2">
      <c r="A480" s="90"/>
      <c r="B480" s="91">
        <f t="shared" si="11"/>
        <v>0</v>
      </c>
      <c r="C480" s="95"/>
      <c r="D480" s="92"/>
      <c r="E480" s="97"/>
    </row>
    <row r="481" spans="1:5" x14ac:dyDescent="0.2">
      <c r="A481" s="90"/>
      <c r="B481" s="91">
        <f t="shared" si="11"/>
        <v>0</v>
      </c>
      <c r="C481" s="95"/>
      <c r="D481" s="92"/>
      <c r="E481" s="97"/>
    </row>
    <row r="482" spans="1:5" x14ac:dyDescent="0.2">
      <c r="A482" s="90"/>
      <c r="B482" s="91">
        <f t="shared" si="11"/>
        <v>0</v>
      </c>
      <c r="C482" s="95"/>
      <c r="D482" s="92"/>
      <c r="E482" s="97"/>
    </row>
    <row r="483" spans="1:5" x14ac:dyDescent="0.2">
      <c r="A483" s="90"/>
      <c r="B483" s="91">
        <f t="shared" si="11"/>
        <v>0</v>
      </c>
      <c r="C483" s="95"/>
      <c r="D483" s="92"/>
      <c r="E483" s="97"/>
    </row>
    <row r="484" spans="1:5" x14ac:dyDescent="0.2">
      <c r="A484" s="90"/>
      <c r="B484" s="91">
        <f t="shared" si="11"/>
        <v>0</v>
      </c>
      <c r="C484" s="95"/>
      <c r="D484" s="92"/>
      <c r="E484" s="97"/>
    </row>
    <row r="485" spans="1:5" x14ac:dyDescent="0.2">
      <c r="A485" s="90"/>
      <c r="B485" s="91">
        <f t="shared" si="11"/>
        <v>0</v>
      </c>
      <c r="C485" s="95"/>
      <c r="D485" s="92"/>
      <c r="E485" s="97"/>
    </row>
    <row r="486" spans="1:5" x14ac:dyDescent="0.2">
      <c r="A486" s="90"/>
      <c r="B486" s="91">
        <f t="shared" si="11"/>
        <v>0</v>
      </c>
      <c r="C486" s="95"/>
      <c r="D486" s="92"/>
      <c r="E486" s="97"/>
    </row>
    <row r="487" spans="1:5" x14ac:dyDescent="0.2">
      <c r="A487" s="90"/>
      <c r="B487" s="91">
        <f t="shared" si="11"/>
        <v>0</v>
      </c>
      <c r="C487" s="95"/>
      <c r="D487" s="92"/>
      <c r="E487" s="97"/>
    </row>
    <row r="488" spans="1:5" x14ac:dyDescent="0.2">
      <c r="A488" s="90"/>
      <c r="B488" s="91">
        <f t="shared" si="11"/>
        <v>0</v>
      </c>
      <c r="C488" s="95"/>
      <c r="D488" s="92"/>
      <c r="E488" s="97"/>
    </row>
    <row r="489" spans="1:5" x14ac:dyDescent="0.2">
      <c r="A489" s="90"/>
      <c r="B489" s="91">
        <f t="shared" si="11"/>
        <v>0</v>
      </c>
      <c r="C489" s="95"/>
      <c r="D489" s="92"/>
      <c r="E489" s="97"/>
    </row>
    <row r="490" spans="1:5" x14ac:dyDescent="0.2">
      <c r="A490" s="90"/>
      <c r="B490" s="91">
        <f t="shared" si="11"/>
        <v>0</v>
      </c>
      <c r="C490" s="95"/>
      <c r="D490" s="92"/>
      <c r="E490" s="97"/>
    </row>
    <row r="491" spans="1:5" x14ac:dyDescent="0.2">
      <c r="A491" s="90"/>
      <c r="B491" s="91">
        <f t="shared" si="11"/>
        <v>0</v>
      </c>
      <c r="C491" s="95"/>
      <c r="D491" s="92"/>
      <c r="E491" s="97"/>
    </row>
    <row r="492" spans="1:5" x14ac:dyDescent="0.2">
      <c r="A492" s="90"/>
      <c r="B492" s="91">
        <f t="shared" si="11"/>
        <v>0</v>
      </c>
      <c r="C492" s="95"/>
      <c r="D492" s="92"/>
      <c r="E492" s="97"/>
    </row>
    <row r="493" spans="1:5" x14ac:dyDescent="0.2">
      <c r="A493" s="90"/>
      <c r="B493" s="91">
        <f t="shared" si="11"/>
        <v>0</v>
      </c>
      <c r="C493" s="95"/>
      <c r="D493" s="92"/>
      <c r="E493" s="97"/>
    </row>
    <row r="494" spans="1:5" x14ac:dyDescent="0.2">
      <c r="A494" s="90"/>
      <c r="B494" s="91">
        <f t="shared" si="11"/>
        <v>0</v>
      </c>
      <c r="C494" s="95"/>
      <c r="D494" s="92"/>
      <c r="E494" s="97"/>
    </row>
    <row r="495" spans="1:5" x14ac:dyDescent="0.2">
      <c r="A495" s="90"/>
      <c r="B495" s="91">
        <f t="shared" si="11"/>
        <v>0</v>
      </c>
      <c r="C495" s="95"/>
      <c r="D495" s="92"/>
      <c r="E495" s="97"/>
    </row>
    <row r="496" spans="1:5" x14ac:dyDescent="0.2">
      <c r="A496" s="90"/>
      <c r="B496" s="91">
        <f t="shared" si="11"/>
        <v>0</v>
      </c>
      <c r="C496" s="95"/>
      <c r="D496" s="92"/>
      <c r="E496" s="97"/>
    </row>
    <row r="497" spans="1:5" x14ac:dyDescent="0.2">
      <c r="A497" s="90"/>
      <c r="B497" s="91">
        <f t="shared" si="11"/>
        <v>0</v>
      </c>
      <c r="C497" s="95"/>
      <c r="D497" s="92"/>
      <c r="E497" s="97"/>
    </row>
    <row r="498" spans="1:5" x14ac:dyDescent="0.2">
      <c r="A498" s="90"/>
      <c r="B498" s="91">
        <f t="shared" si="11"/>
        <v>0</v>
      </c>
      <c r="C498" s="95"/>
      <c r="D498" s="92"/>
      <c r="E498" s="97"/>
    </row>
    <row r="499" spans="1:5" x14ac:dyDescent="0.2">
      <c r="A499" s="90"/>
      <c r="B499" s="91">
        <f t="shared" si="11"/>
        <v>0</v>
      </c>
      <c r="C499" s="95"/>
      <c r="D499" s="92"/>
      <c r="E499" s="97"/>
    </row>
    <row r="500" spans="1:5" x14ac:dyDescent="0.2">
      <c r="A500" s="90"/>
      <c r="B500" s="91">
        <f t="shared" si="11"/>
        <v>0</v>
      </c>
      <c r="C500" s="95"/>
      <c r="D500" s="92"/>
      <c r="E500" s="97"/>
    </row>
    <row r="501" spans="1:5" x14ac:dyDescent="0.2">
      <c r="A501" s="90"/>
      <c r="B501" s="91">
        <f t="shared" si="11"/>
        <v>0</v>
      </c>
      <c r="C501" s="95"/>
      <c r="D501" s="92"/>
      <c r="E501" s="97"/>
    </row>
    <row r="502" spans="1:5" x14ac:dyDescent="0.2">
      <c r="A502" s="90"/>
      <c r="B502" s="91">
        <f t="shared" si="11"/>
        <v>0</v>
      </c>
      <c r="C502" s="95"/>
      <c r="D502" s="92"/>
      <c r="E502" s="97"/>
    </row>
    <row r="503" spans="1:5" x14ac:dyDescent="0.2">
      <c r="A503" s="90"/>
      <c r="B503" s="91">
        <f t="shared" si="11"/>
        <v>0</v>
      </c>
      <c r="C503" s="95"/>
      <c r="D503" s="92"/>
      <c r="E503" s="97"/>
    </row>
    <row r="504" spans="1:5" x14ac:dyDescent="0.2">
      <c r="A504" s="90"/>
      <c r="B504" s="91">
        <f t="shared" si="11"/>
        <v>0</v>
      </c>
      <c r="C504" s="95"/>
      <c r="D504" s="92"/>
      <c r="E504" s="97"/>
    </row>
    <row r="505" spans="1:5" x14ac:dyDescent="0.2">
      <c r="A505" s="90"/>
      <c r="B505" s="91">
        <f t="shared" si="11"/>
        <v>0</v>
      </c>
      <c r="C505" s="95"/>
      <c r="D505" s="92"/>
      <c r="E505" s="97"/>
    </row>
    <row r="506" spans="1:5" x14ac:dyDescent="0.2">
      <c r="A506" s="90"/>
      <c r="B506" s="91">
        <f t="shared" si="11"/>
        <v>0</v>
      </c>
      <c r="C506" s="95"/>
      <c r="D506" s="92"/>
      <c r="E506" s="97"/>
    </row>
    <row r="507" spans="1:5" x14ac:dyDescent="0.2">
      <c r="A507" s="90"/>
      <c r="B507" s="91">
        <f t="shared" si="11"/>
        <v>0</v>
      </c>
      <c r="C507" s="95"/>
      <c r="D507" s="92"/>
      <c r="E507" s="97"/>
    </row>
    <row r="508" spans="1:5" x14ac:dyDescent="0.2">
      <c r="A508" s="90"/>
      <c r="B508" s="91">
        <f t="shared" si="11"/>
        <v>0</v>
      </c>
      <c r="C508" s="95"/>
      <c r="D508" s="92"/>
      <c r="E508" s="97"/>
    </row>
    <row r="509" spans="1:5" x14ac:dyDescent="0.2">
      <c r="A509" s="90"/>
      <c r="B509" s="91">
        <f t="shared" si="11"/>
        <v>0</v>
      </c>
      <c r="C509" s="95"/>
      <c r="D509" s="92"/>
      <c r="E509" s="97"/>
    </row>
    <row r="510" spans="1:5" x14ac:dyDescent="0.2">
      <c r="A510" s="90"/>
      <c r="B510" s="91">
        <f t="shared" ref="B510:B573" si="12">WEEKNUM(A510,1)</f>
        <v>0</v>
      </c>
      <c r="C510" s="95"/>
      <c r="D510" s="92"/>
      <c r="E510" s="97"/>
    </row>
    <row r="511" spans="1:5" x14ac:dyDescent="0.2">
      <c r="A511" s="90"/>
      <c r="B511" s="91">
        <f t="shared" si="12"/>
        <v>0</v>
      </c>
      <c r="C511" s="95"/>
      <c r="D511" s="92"/>
      <c r="E511" s="97"/>
    </row>
    <row r="512" spans="1:5" x14ac:dyDescent="0.2">
      <c r="A512" s="90"/>
      <c r="B512" s="91">
        <f t="shared" si="12"/>
        <v>0</v>
      </c>
      <c r="C512" s="95"/>
      <c r="D512" s="92"/>
      <c r="E512" s="97"/>
    </row>
    <row r="513" spans="1:5" x14ac:dyDescent="0.2">
      <c r="A513" s="90"/>
      <c r="B513" s="91">
        <f t="shared" si="12"/>
        <v>0</v>
      </c>
      <c r="C513" s="95"/>
      <c r="D513" s="92"/>
      <c r="E513" s="97"/>
    </row>
    <row r="514" spans="1:5" x14ac:dyDescent="0.2">
      <c r="A514" s="90"/>
      <c r="B514" s="91">
        <f t="shared" si="12"/>
        <v>0</v>
      </c>
      <c r="C514" s="95"/>
      <c r="D514" s="92"/>
      <c r="E514" s="97"/>
    </row>
    <row r="515" spans="1:5" x14ac:dyDescent="0.2">
      <c r="A515" s="90"/>
      <c r="B515" s="91">
        <f t="shared" si="12"/>
        <v>0</v>
      </c>
      <c r="C515" s="95"/>
      <c r="D515" s="92"/>
      <c r="E515" s="97"/>
    </row>
    <row r="516" spans="1:5" x14ac:dyDescent="0.2">
      <c r="A516" s="90"/>
      <c r="B516" s="91">
        <f t="shared" si="12"/>
        <v>0</v>
      </c>
      <c r="C516" s="95"/>
      <c r="D516" s="92"/>
      <c r="E516" s="97"/>
    </row>
    <row r="517" spans="1:5" x14ac:dyDescent="0.2">
      <c r="A517" s="90"/>
      <c r="B517" s="91">
        <f t="shared" si="12"/>
        <v>0</v>
      </c>
      <c r="C517" s="95"/>
      <c r="D517" s="92"/>
      <c r="E517" s="97"/>
    </row>
    <row r="518" spans="1:5" x14ac:dyDescent="0.2">
      <c r="A518" s="90"/>
      <c r="B518" s="91">
        <f t="shared" si="12"/>
        <v>0</v>
      </c>
      <c r="C518" s="95"/>
      <c r="D518" s="92"/>
      <c r="E518" s="97"/>
    </row>
    <row r="519" spans="1:5" x14ac:dyDescent="0.2">
      <c r="A519" s="90"/>
      <c r="B519" s="91">
        <f t="shared" si="12"/>
        <v>0</v>
      </c>
      <c r="C519" s="95"/>
      <c r="D519" s="92"/>
      <c r="E519" s="97"/>
    </row>
    <row r="520" spans="1:5" x14ac:dyDescent="0.2">
      <c r="A520" s="90"/>
      <c r="B520" s="91">
        <f t="shared" si="12"/>
        <v>0</v>
      </c>
      <c r="C520" s="95"/>
      <c r="D520" s="92"/>
      <c r="E520" s="97"/>
    </row>
    <row r="521" spans="1:5" x14ac:dyDescent="0.2">
      <c r="A521" s="90"/>
      <c r="B521" s="91">
        <f t="shared" si="12"/>
        <v>0</v>
      </c>
      <c r="C521" s="95"/>
      <c r="D521" s="92"/>
      <c r="E521" s="97"/>
    </row>
    <row r="522" spans="1:5" x14ac:dyDescent="0.2">
      <c r="A522" s="90"/>
      <c r="B522" s="91">
        <f t="shared" si="12"/>
        <v>0</v>
      </c>
      <c r="C522" s="95"/>
      <c r="D522" s="92"/>
      <c r="E522" s="97"/>
    </row>
    <row r="523" spans="1:5" x14ac:dyDescent="0.2">
      <c r="A523" s="90"/>
      <c r="B523" s="91">
        <f t="shared" si="12"/>
        <v>0</v>
      </c>
      <c r="C523" s="95"/>
      <c r="D523" s="92"/>
      <c r="E523" s="97"/>
    </row>
    <row r="524" spans="1:5" x14ac:dyDescent="0.2">
      <c r="A524" s="90"/>
      <c r="B524" s="91">
        <f t="shared" si="12"/>
        <v>0</v>
      </c>
      <c r="C524" s="95"/>
      <c r="D524" s="92"/>
      <c r="E524" s="97"/>
    </row>
    <row r="525" spans="1:5" x14ac:dyDescent="0.2">
      <c r="A525" s="90"/>
      <c r="B525" s="91">
        <f t="shared" si="12"/>
        <v>0</v>
      </c>
      <c r="C525" s="95"/>
      <c r="D525" s="92"/>
      <c r="E525" s="97"/>
    </row>
    <row r="526" spans="1:5" x14ac:dyDescent="0.2">
      <c r="A526" s="90"/>
      <c r="B526" s="91">
        <f t="shared" si="12"/>
        <v>0</v>
      </c>
      <c r="C526" s="95"/>
      <c r="D526" s="92"/>
      <c r="E526" s="97"/>
    </row>
    <row r="527" spans="1:5" x14ac:dyDescent="0.2">
      <c r="A527" s="90"/>
      <c r="B527" s="91">
        <f t="shared" si="12"/>
        <v>0</v>
      </c>
      <c r="C527" s="95"/>
      <c r="D527" s="92"/>
      <c r="E527" s="97"/>
    </row>
    <row r="528" spans="1:5" x14ac:dyDescent="0.2">
      <c r="A528" s="90"/>
      <c r="B528" s="91">
        <f t="shared" si="12"/>
        <v>0</v>
      </c>
      <c r="C528" s="95"/>
      <c r="D528" s="92"/>
      <c r="E528" s="97"/>
    </row>
    <row r="529" spans="1:5" x14ac:dyDescent="0.2">
      <c r="A529" s="90"/>
      <c r="B529" s="91">
        <f t="shared" si="12"/>
        <v>0</v>
      </c>
      <c r="C529" s="95"/>
      <c r="D529" s="92"/>
      <c r="E529" s="97"/>
    </row>
    <row r="530" spans="1:5" x14ac:dyDescent="0.2">
      <c r="A530" s="90"/>
      <c r="B530" s="91">
        <f t="shared" si="12"/>
        <v>0</v>
      </c>
      <c r="C530" s="95"/>
      <c r="D530" s="92"/>
      <c r="E530" s="97"/>
    </row>
    <row r="531" spans="1:5" x14ac:dyDescent="0.2">
      <c r="A531" s="90"/>
      <c r="B531" s="91">
        <f t="shared" si="12"/>
        <v>0</v>
      </c>
      <c r="C531" s="95"/>
      <c r="D531" s="92"/>
      <c r="E531" s="97"/>
    </row>
    <row r="532" spans="1:5" x14ac:dyDescent="0.2">
      <c r="A532" s="90"/>
      <c r="B532" s="91">
        <f t="shared" si="12"/>
        <v>0</v>
      </c>
      <c r="C532" s="95"/>
      <c r="D532" s="92"/>
      <c r="E532" s="97"/>
    </row>
    <row r="533" spans="1:5" x14ac:dyDescent="0.2">
      <c r="A533" s="90"/>
      <c r="B533" s="91">
        <f t="shared" si="12"/>
        <v>0</v>
      </c>
      <c r="C533" s="95"/>
      <c r="D533" s="92"/>
      <c r="E533" s="97"/>
    </row>
    <row r="534" spans="1:5" x14ac:dyDescent="0.2">
      <c r="A534" s="90"/>
      <c r="B534" s="91">
        <f t="shared" si="12"/>
        <v>0</v>
      </c>
      <c r="C534" s="95"/>
      <c r="D534" s="92"/>
      <c r="E534" s="97"/>
    </row>
    <row r="535" spans="1:5" x14ac:dyDescent="0.2">
      <c r="A535" s="90"/>
      <c r="B535" s="91">
        <f t="shared" si="12"/>
        <v>0</v>
      </c>
      <c r="C535" s="95"/>
      <c r="D535" s="92"/>
      <c r="E535" s="97"/>
    </row>
    <row r="536" spans="1:5" x14ac:dyDescent="0.2">
      <c r="A536" s="90"/>
      <c r="B536" s="91">
        <f t="shared" si="12"/>
        <v>0</v>
      </c>
      <c r="C536" s="95"/>
      <c r="D536" s="92"/>
      <c r="E536" s="97"/>
    </row>
    <row r="537" spans="1:5" x14ac:dyDescent="0.2">
      <c r="A537" s="90"/>
      <c r="B537" s="91">
        <f t="shared" si="12"/>
        <v>0</v>
      </c>
      <c r="C537" s="95"/>
      <c r="D537" s="92"/>
      <c r="E537" s="97"/>
    </row>
    <row r="538" spans="1:5" x14ac:dyDescent="0.2">
      <c r="A538" s="90"/>
      <c r="B538" s="91">
        <f t="shared" si="12"/>
        <v>0</v>
      </c>
      <c r="C538" s="95"/>
      <c r="D538" s="92"/>
      <c r="E538" s="97"/>
    </row>
    <row r="539" spans="1:5" x14ac:dyDescent="0.2">
      <c r="A539" s="90"/>
      <c r="B539" s="91">
        <f t="shared" si="12"/>
        <v>0</v>
      </c>
      <c r="C539" s="95"/>
      <c r="D539" s="92"/>
      <c r="E539" s="97"/>
    </row>
    <row r="540" spans="1:5" x14ac:dyDescent="0.2">
      <c r="A540" s="90"/>
      <c r="B540" s="91">
        <f t="shared" si="12"/>
        <v>0</v>
      </c>
      <c r="C540" s="95"/>
      <c r="D540" s="92"/>
      <c r="E540" s="97"/>
    </row>
    <row r="541" spans="1:5" x14ac:dyDescent="0.2">
      <c r="A541" s="90"/>
      <c r="B541" s="91">
        <f t="shared" si="12"/>
        <v>0</v>
      </c>
      <c r="C541" s="95"/>
      <c r="D541" s="92"/>
      <c r="E541" s="97"/>
    </row>
    <row r="542" spans="1:5" x14ac:dyDescent="0.2">
      <c r="A542" s="90"/>
      <c r="B542" s="91">
        <f t="shared" si="12"/>
        <v>0</v>
      </c>
      <c r="C542" s="95"/>
      <c r="D542" s="92"/>
      <c r="E542" s="97"/>
    </row>
    <row r="543" spans="1:5" x14ac:dyDescent="0.2">
      <c r="A543" s="90"/>
      <c r="B543" s="91">
        <f t="shared" si="12"/>
        <v>0</v>
      </c>
      <c r="C543" s="95"/>
      <c r="D543" s="92"/>
      <c r="E543" s="97"/>
    </row>
    <row r="544" spans="1:5" x14ac:dyDescent="0.2">
      <c r="A544" s="90"/>
      <c r="B544" s="91">
        <f t="shared" si="12"/>
        <v>0</v>
      </c>
      <c r="C544" s="95"/>
      <c r="D544" s="92"/>
      <c r="E544" s="97"/>
    </row>
    <row r="545" spans="1:5" x14ac:dyDescent="0.2">
      <c r="A545" s="90"/>
      <c r="B545" s="91">
        <f t="shared" si="12"/>
        <v>0</v>
      </c>
      <c r="C545" s="95"/>
      <c r="D545" s="92"/>
      <c r="E545" s="97"/>
    </row>
    <row r="546" spans="1:5" x14ac:dyDescent="0.2">
      <c r="A546" s="90"/>
      <c r="B546" s="91">
        <f t="shared" si="12"/>
        <v>0</v>
      </c>
      <c r="C546" s="95"/>
      <c r="D546" s="92"/>
      <c r="E546" s="97"/>
    </row>
    <row r="547" spans="1:5" x14ac:dyDescent="0.2">
      <c r="A547" s="90"/>
      <c r="B547" s="91">
        <f t="shared" si="12"/>
        <v>0</v>
      </c>
      <c r="C547" s="95"/>
      <c r="D547" s="92"/>
      <c r="E547" s="97"/>
    </row>
    <row r="548" spans="1:5" x14ac:dyDescent="0.2">
      <c r="A548" s="90"/>
      <c r="B548" s="91">
        <f t="shared" si="12"/>
        <v>0</v>
      </c>
      <c r="C548" s="95"/>
      <c r="D548" s="92"/>
      <c r="E548" s="97"/>
    </row>
    <row r="549" spans="1:5" x14ac:dyDescent="0.2">
      <c r="A549" s="90"/>
      <c r="B549" s="91">
        <f t="shared" si="12"/>
        <v>0</v>
      </c>
      <c r="C549" s="95"/>
      <c r="D549" s="92"/>
      <c r="E549" s="97"/>
    </row>
    <row r="550" spans="1:5" x14ac:dyDescent="0.2">
      <c r="A550" s="90"/>
      <c r="B550" s="91">
        <f t="shared" si="12"/>
        <v>0</v>
      </c>
      <c r="C550" s="95"/>
      <c r="D550" s="92"/>
      <c r="E550" s="97"/>
    </row>
    <row r="551" spans="1:5" x14ac:dyDescent="0.2">
      <c r="A551" s="90"/>
      <c r="B551" s="91">
        <f t="shared" si="12"/>
        <v>0</v>
      </c>
      <c r="C551" s="95"/>
      <c r="D551" s="92"/>
      <c r="E551" s="97"/>
    </row>
    <row r="552" spans="1:5" x14ac:dyDescent="0.2">
      <c r="A552" s="90"/>
      <c r="B552" s="91">
        <f t="shared" si="12"/>
        <v>0</v>
      </c>
      <c r="C552" s="95"/>
      <c r="D552" s="92"/>
      <c r="E552" s="97"/>
    </row>
    <row r="553" spans="1:5" x14ac:dyDescent="0.2">
      <c r="A553" s="90"/>
      <c r="B553" s="91">
        <f t="shared" si="12"/>
        <v>0</v>
      </c>
      <c r="C553" s="95"/>
      <c r="D553" s="92"/>
      <c r="E553" s="97"/>
    </row>
    <row r="554" spans="1:5" x14ac:dyDescent="0.2">
      <c r="A554" s="90"/>
      <c r="B554" s="91">
        <f t="shared" si="12"/>
        <v>0</v>
      </c>
      <c r="C554" s="95"/>
      <c r="D554" s="92"/>
      <c r="E554" s="97"/>
    </row>
    <row r="555" spans="1:5" x14ac:dyDescent="0.2">
      <c r="A555" s="90"/>
      <c r="B555" s="91">
        <f t="shared" si="12"/>
        <v>0</v>
      </c>
      <c r="C555" s="95"/>
      <c r="D555" s="92"/>
      <c r="E555" s="97"/>
    </row>
    <row r="556" spans="1:5" x14ac:dyDescent="0.2">
      <c r="A556" s="90"/>
      <c r="B556" s="91">
        <f t="shared" si="12"/>
        <v>0</v>
      </c>
      <c r="C556" s="95"/>
      <c r="D556" s="92"/>
      <c r="E556" s="97"/>
    </row>
    <row r="557" spans="1:5" x14ac:dyDescent="0.2">
      <c r="A557" s="90"/>
      <c r="B557" s="91">
        <f t="shared" si="12"/>
        <v>0</v>
      </c>
      <c r="C557" s="95"/>
      <c r="D557" s="92"/>
      <c r="E557" s="97"/>
    </row>
    <row r="558" spans="1:5" x14ac:dyDescent="0.2">
      <c r="A558" s="90"/>
      <c r="B558" s="91">
        <f t="shared" si="12"/>
        <v>0</v>
      </c>
      <c r="C558" s="95"/>
      <c r="D558" s="92"/>
      <c r="E558" s="97"/>
    </row>
    <row r="559" spans="1:5" x14ac:dyDescent="0.2">
      <c r="A559" s="90"/>
      <c r="B559" s="91">
        <f t="shared" si="12"/>
        <v>0</v>
      </c>
      <c r="C559" s="95"/>
      <c r="D559" s="92"/>
      <c r="E559" s="97"/>
    </row>
    <row r="560" spans="1:5" x14ac:dyDescent="0.2">
      <c r="A560" s="90"/>
      <c r="B560" s="91">
        <f t="shared" si="12"/>
        <v>0</v>
      </c>
      <c r="C560" s="95"/>
      <c r="D560" s="92"/>
      <c r="E560" s="97"/>
    </row>
    <row r="561" spans="1:5" x14ac:dyDescent="0.2">
      <c r="A561" s="90"/>
      <c r="B561" s="91">
        <f t="shared" si="12"/>
        <v>0</v>
      </c>
      <c r="C561" s="95"/>
      <c r="D561" s="92"/>
      <c r="E561" s="97"/>
    </row>
    <row r="562" spans="1:5" x14ac:dyDescent="0.2">
      <c r="A562" s="90"/>
      <c r="B562" s="91">
        <f t="shared" si="12"/>
        <v>0</v>
      </c>
      <c r="C562" s="95"/>
      <c r="D562" s="92"/>
      <c r="E562" s="97"/>
    </row>
    <row r="563" spans="1:5" x14ac:dyDescent="0.2">
      <c r="A563" s="90"/>
      <c r="B563" s="91">
        <f t="shared" si="12"/>
        <v>0</v>
      </c>
      <c r="C563" s="95"/>
      <c r="D563" s="92"/>
      <c r="E563" s="97"/>
    </row>
    <row r="564" spans="1:5" x14ac:dyDescent="0.2">
      <c r="A564" s="90"/>
      <c r="B564" s="91">
        <f t="shared" si="12"/>
        <v>0</v>
      </c>
      <c r="C564" s="95"/>
      <c r="D564" s="92"/>
      <c r="E564" s="97"/>
    </row>
    <row r="565" spans="1:5" x14ac:dyDescent="0.2">
      <c r="A565" s="90"/>
      <c r="B565" s="91">
        <f t="shared" si="12"/>
        <v>0</v>
      </c>
      <c r="C565" s="95"/>
      <c r="D565" s="92"/>
      <c r="E565" s="97"/>
    </row>
    <row r="566" spans="1:5" x14ac:dyDescent="0.2">
      <c r="A566" s="90"/>
      <c r="B566" s="91">
        <f t="shared" si="12"/>
        <v>0</v>
      </c>
      <c r="C566" s="95"/>
      <c r="D566" s="92"/>
      <c r="E566" s="97"/>
    </row>
    <row r="567" spans="1:5" x14ac:dyDescent="0.2">
      <c r="A567" s="90"/>
      <c r="B567" s="91">
        <f t="shared" si="12"/>
        <v>0</v>
      </c>
      <c r="C567" s="95"/>
      <c r="D567" s="92"/>
      <c r="E567" s="97"/>
    </row>
    <row r="568" spans="1:5" x14ac:dyDescent="0.2">
      <c r="A568" s="90"/>
      <c r="B568" s="91">
        <f t="shared" si="12"/>
        <v>0</v>
      </c>
      <c r="C568" s="95"/>
      <c r="D568" s="92"/>
      <c r="E568" s="97"/>
    </row>
    <row r="569" spans="1:5" x14ac:dyDescent="0.2">
      <c r="A569" s="90"/>
      <c r="B569" s="91">
        <f t="shared" si="12"/>
        <v>0</v>
      </c>
      <c r="C569" s="95"/>
      <c r="D569" s="92"/>
      <c r="E569" s="97"/>
    </row>
    <row r="570" spans="1:5" x14ac:dyDescent="0.2">
      <c r="A570" s="90"/>
      <c r="B570" s="91">
        <f t="shared" si="12"/>
        <v>0</v>
      </c>
      <c r="C570" s="95"/>
      <c r="D570" s="92"/>
      <c r="E570" s="97"/>
    </row>
    <row r="571" spans="1:5" x14ac:dyDescent="0.2">
      <c r="A571" s="90"/>
      <c r="B571" s="91">
        <f t="shared" si="12"/>
        <v>0</v>
      </c>
      <c r="C571" s="95"/>
      <c r="D571" s="92"/>
      <c r="E571" s="97"/>
    </row>
    <row r="572" spans="1:5" x14ac:dyDescent="0.2">
      <c r="A572" s="90"/>
      <c r="B572" s="91">
        <f t="shared" si="12"/>
        <v>0</v>
      </c>
      <c r="C572" s="95"/>
      <c r="D572" s="92"/>
      <c r="E572" s="97"/>
    </row>
    <row r="573" spans="1:5" x14ac:dyDescent="0.2">
      <c r="A573" s="90"/>
      <c r="B573" s="91">
        <f t="shared" si="12"/>
        <v>0</v>
      </c>
      <c r="C573" s="95"/>
      <c r="D573" s="92"/>
      <c r="E573" s="97"/>
    </row>
    <row r="574" spans="1:5" x14ac:dyDescent="0.2">
      <c r="A574" s="90"/>
      <c r="B574" s="91">
        <f t="shared" ref="B574:B637" si="13">WEEKNUM(A574,1)</f>
        <v>0</v>
      </c>
      <c r="C574" s="95"/>
      <c r="D574" s="92"/>
      <c r="E574" s="97"/>
    </row>
    <row r="575" spans="1:5" x14ac:dyDescent="0.2">
      <c r="A575" s="90"/>
      <c r="B575" s="91">
        <f t="shared" si="13"/>
        <v>0</v>
      </c>
      <c r="C575" s="95"/>
      <c r="D575" s="92"/>
      <c r="E575" s="97"/>
    </row>
    <row r="576" spans="1:5" x14ac:dyDescent="0.2">
      <c r="A576" s="90"/>
      <c r="B576" s="91">
        <f t="shared" si="13"/>
        <v>0</v>
      </c>
      <c r="C576" s="95"/>
      <c r="D576" s="92"/>
      <c r="E576" s="97"/>
    </row>
    <row r="577" spans="1:5" x14ac:dyDescent="0.2">
      <c r="A577" s="90"/>
      <c r="B577" s="91">
        <f t="shared" si="13"/>
        <v>0</v>
      </c>
      <c r="C577" s="95"/>
      <c r="D577" s="92"/>
      <c r="E577" s="97"/>
    </row>
    <row r="578" spans="1:5" x14ac:dyDescent="0.2">
      <c r="A578" s="90"/>
      <c r="B578" s="91">
        <f t="shared" si="13"/>
        <v>0</v>
      </c>
      <c r="C578" s="95"/>
      <c r="D578" s="92"/>
      <c r="E578" s="97"/>
    </row>
    <row r="579" spans="1:5" x14ac:dyDescent="0.2">
      <c r="A579" s="90"/>
      <c r="B579" s="91">
        <f t="shared" si="13"/>
        <v>0</v>
      </c>
      <c r="C579" s="95"/>
      <c r="D579" s="92"/>
      <c r="E579" s="97"/>
    </row>
    <row r="580" spans="1:5" x14ac:dyDescent="0.2">
      <c r="A580" s="90"/>
      <c r="B580" s="91">
        <f t="shared" si="13"/>
        <v>0</v>
      </c>
      <c r="C580" s="95"/>
      <c r="D580" s="92"/>
      <c r="E580" s="97"/>
    </row>
    <row r="581" spans="1:5" x14ac:dyDescent="0.2">
      <c r="A581" s="90"/>
      <c r="B581" s="91">
        <f t="shared" si="13"/>
        <v>0</v>
      </c>
      <c r="C581" s="95"/>
      <c r="D581" s="92"/>
      <c r="E581" s="97"/>
    </row>
    <row r="582" spans="1:5" x14ac:dyDescent="0.2">
      <c r="A582" s="90"/>
      <c r="B582" s="91">
        <f t="shared" si="13"/>
        <v>0</v>
      </c>
      <c r="C582" s="95"/>
      <c r="D582" s="92"/>
      <c r="E582" s="97"/>
    </row>
    <row r="583" spans="1:5" x14ac:dyDescent="0.2">
      <c r="A583" s="90"/>
      <c r="B583" s="91">
        <f t="shared" si="13"/>
        <v>0</v>
      </c>
      <c r="C583" s="95"/>
      <c r="D583" s="92"/>
      <c r="E583" s="97"/>
    </row>
    <row r="584" spans="1:5" x14ac:dyDescent="0.2">
      <c r="A584" s="90"/>
      <c r="B584" s="91">
        <f t="shared" si="13"/>
        <v>0</v>
      </c>
      <c r="C584" s="95"/>
      <c r="D584" s="92"/>
      <c r="E584" s="97"/>
    </row>
    <row r="585" spans="1:5" x14ac:dyDescent="0.2">
      <c r="A585" s="90"/>
      <c r="B585" s="91">
        <f t="shared" si="13"/>
        <v>0</v>
      </c>
      <c r="C585" s="95"/>
      <c r="D585" s="92"/>
      <c r="E585" s="97"/>
    </row>
    <row r="586" spans="1:5" x14ac:dyDescent="0.2">
      <c r="A586" s="90"/>
      <c r="B586" s="91">
        <f t="shared" si="13"/>
        <v>0</v>
      </c>
      <c r="C586" s="95"/>
      <c r="D586" s="92"/>
      <c r="E586" s="97"/>
    </row>
    <row r="587" spans="1:5" x14ac:dyDescent="0.2">
      <c r="A587" s="90"/>
      <c r="B587" s="91">
        <f t="shared" si="13"/>
        <v>0</v>
      </c>
      <c r="C587" s="95"/>
      <c r="D587" s="92"/>
      <c r="E587" s="97"/>
    </row>
    <row r="588" spans="1:5" x14ac:dyDescent="0.2">
      <c r="A588" s="90"/>
      <c r="B588" s="91">
        <f t="shared" si="13"/>
        <v>0</v>
      </c>
      <c r="C588" s="95"/>
      <c r="D588" s="92"/>
      <c r="E588" s="97"/>
    </row>
    <row r="589" spans="1:5" x14ac:dyDescent="0.2">
      <c r="A589" s="90"/>
      <c r="B589" s="91">
        <f t="shared" si="13"/>
        <v>0</v>
      </c>
      <c r="C589" s="95"/>
      <c r="D589" s="92"/>
      <c r="E589" s="97"/>
    </row>
    <row r="590" spans="1:5" x14ac:dyDescent="0.2">
      <c r="A590" s="90"/>
      <c r="B590" s="91">
        <f t="shared" si="13"/>
        <v>0</v>
      </c>
      <c r="C590" s="95"/>
      <c r="D590" s="92"/>
      <c r="E590" s="97"/>
    </row>
    <row r="591" spans="1:5" x14ac:dyDescent="0.2">
      <c r="A591" s="90"/>
      <c r="B591" s="91">
        <f t="shared" si="13"/>
        <v>0</v>
      </c>
      <c r="C591" s="95"/>
      <c r="D591" s="92"/>
      <c r="E591" s="97"/>
    </row>
    <row r="592" spans="1:5" x14ac:dyDescent="0.2">
      <c r="A592" s="90"/>
      <c r="B592" s="91">
        <f t="shared" si="13"/>
        <v>0</v>
      </c>
      <c r="C592" s="95"/>
      <c r="D592" s="92"/>
      <c r="E592" s="97"/>
    </row>
    <row r="593" spans="1:5" x14ac:dyDescent="0.2">
      <c r="A593" s="90"/>
      <c r="B593" s="91">
        <f t="shared" si="13"/>
        <v>0</v>
      </c>
      <c r="C593" s="95"/>
      <c r="D593" s="92"/>
      <c r="E593" s="97"/>
    </row>
    <row r="594" spans="1:5" x14ac:dyDescent="0.2">
      <c r="A594" s="90"/>
      <c r="B594" s="91">
        <f t="shared" si="13"/>
        <v>0</v>
      </c>
      <c r="C594" s="95"/>
      <c r="D594" s="92"/>
      <c r="E594" s="97"/>
    </row>
    <row r="595" spans="1:5" x14ac:dyDescent="0.2">
      <c r="A595" s="90"/>
      <c r="B595" s="91">
        <f t="shared" si="13"/>
        <v>0</v>
      </c>
      <c r="C595" s="95"/>
      <c r="D595" s="92"/>
      <c r="E595" s="97"/>
    </row>
    <row r="596" spans="1:5" x14ac:dyDescent="0.2">
      <c r="A596" s="90"/>
      <c r="B596" s="91">
        <f t="shared" si="13"/>
        <v>0</v>
      </c>
      <c r="C596" s="95"/>
      <c r="D596" s="92"/>
      <c r="E596" s="97"/>
    </row>
    <row r="597" spans="1:5" x14ac:dyDescent="0.2">
      <c r="A597" s="90"/>
      <c r="B597" s="91">
        <f t="shared" si="13"/>
        <v>0</v>
      </c>
      <c r="C597" s="95"/>
      <c r="D597" s="92"/>
      <c r="E597" s="97"/>
    </row>
    <row r="598" spans="1:5" x14ac:dyDescent="0.2">
      <c r="A598" s="90"/>
      <c r="B598" s="91">
        <f t="shared" si="13"/>
        <v>0</v>
      </c>
      <c r="C598" s="95"/>
      <c r="D598" s="92"/>
      <c r="E598" s="97"/>
    </row>
    <row r="599" spans="1:5" x14ac:dyDescent="0.2">
      <c r="A599" s="90"/>
      <c r="B599" s="91">
        <f t="shared" si="13"/>
        <v>0</v>
      </c>
      <c r="C599" s="95"/>
      <c r="D599" s="92"/>
      <c r="E599" s="97"/>
    </row>
    <row r="600" spans="1:5" x14ac:dyDescent="0.2">
      <c r="A600" s="90"/>
      <c r="B600" s="91">
        <f t="shared" si="13"/>
        <v>0</v>
      </c>
      <c r="C600" s="95"/>
      <c r="D600" s="92"/>
      <c r="E600" s="97"/>
    </row>
    <row r="601" spans="1:5" x14ac:dyDescent="0.2">
      <c r="A601" s="90"/>
      <c r="B601" s="91">
        <f t="shared" si="13"/>
        <v>0</v>
      </c>
      <c r="C601" s="95"/>
      <c r="D601" s="92"/>
      <c r="E601" s="97"/>
    </row>
    <row r="602" spans="1:5" x14ac:dyDescent="0.2">
      <c r="A602" s="90"/>
      <c r="B602" s="91">
        <f t="shared" si="13"/>
        <v>0</v>
      </c>
      <c r="C602" s="95"/>
      <c r="D602" s="92"/>
      <c r="E602" s="97"/>
    </row>
    <row r="603" spans="1:5" x14ac:dyDescent="0.2">
      <c r="A603" s="90"/>
      <c r="B603" s="91">
        <f t="shared" si="13"/>
        <v>0</v>
      </c>
      <c r="C603" s="95"/>
      <c r="D603" s="92"/>
      <c r="E603" s="97"/>
    </row>
    <row r="604" spans="1:5" x14ac:dyDescent="0.2">
      <c r="A604" s="90"/>
      <c r="B604" s="91">
        <f t="shared" si="13"/>
        <v>0</v>
      </c>
      <c r="C604" s="95"/>
      <c r="D604" s="92"/>
      <c r="E604" s="97"/>
    </row>
    <row r="605" spans="1:5" x14ac:dyDescent="0.2">
      <c r="A605" s="90"/>
      <c r="B605" s="91">
        <f t="shared" si="13"/>
        <v>0</v>
      </c>
      <c r="C605" s="95"/>
      <c r="D605" s="92"/>
      <c r="E605" s="97"/>
    </row>
    <row r="606" spans="1:5" x14ac:dyDescent="0.2">
      <c r="A606" s="90"/>
      <c r="B606" s="91">
        <f t="shared" si="13"/>
        <v>0</v>
      </c>
      <c r="C606" s="95"/>
      <c r="D606" s="92"/>
      <c r="E606" s="97"/>
    </row>
    <row r="607" spans="1:5" x14ac:dyDescent="0.2">
      <c r="A607" s="90"/>
      <c r="B607" s="91">
        <f t="shared" si="13"/>
        <v>0</v>
      </c>
      <c r="C607" s="95"/>
      <c r="D607" s="92"/>
      <c r="E607" s="97"/>
    </row>
    <row r="608" spans="1:5" x14ac:dyDescent="0.2">
      <c r="A608" s="90"/>
      <c r="B608" s="91">
        <f t="shared" si="13"/>
        <v>0</v>
      </c>
      <c r="C608" s="95"/>
      <c r="D608" s="92"/>
      <c r="E608" s="97"/>
    </row>
    <row r="609" spans="1:5" x14ac:dyDescent="0.2">
      <c r="A609" s="90"/>
      <c r="B609" s="91">
        <f t="shared" si="13"/>
        <v>0</v>
      </c>
      <c r="C609" s="95"/>
      <c r="D609" s="92"/>
      <c r="E609" s="97"/>
    </row>
    <row r="610" spans="1:5" x14ac:dyDescent="0.2">
      <c r="A610" s="90"/>
      <c r="B610" s="91">
        <f t="shared" si="13"/>
        <v>0</v>
      </c>
      <c r="C610" s="95"/>
      <c r="D610" s="92"/>
      <c r="E610" s="97"/>
    </row>
    <row r="611" spans="1:5" x14ac:dyDescent="0.2">
      <c r="A611" s="90"/>
      <c r="B611" s="91">
        <f t="shared" si="13"/>
        <v>0</v>
      </c>
      <c r="C611" s="95"/>
      <c r="D611" s="92"/>
      <c r="E611" s="97"/>
    </row>
    <row r="612" spans="1:5" x14ac:dyDescent="0.2">
      <c r="A612" s="90"/>
      <c r="B612" s="91">
        <f t="shared" si="13"/>
        <v>0</v>
      </c>
      <c r="C612" s="95"/>
      <c r="D612" s="92"/>
      <c r="E612" s="97"/>
    </row>
    <row r="613" spans="1:5" x14ac:dyDescent="0.2">
      <c r="A613" s="90"/>
      <c r="B613" s="91">
        <f t="shared" si="13"/>
        <v>0</v>
      </c>
      <c r="C613" s="95"/>
      <c r="D613" s="92"/>
      <c r="E613" s="97"/>
    </row>
    <row r="614" spans="1:5" x14ac:dyDescent="0.2">
      <c r="A614" s="90"/>
      <c r="B614" s="91">
        <f t="shared" si="13"/>
        <v>0</v>
      </c>
      <c r="C614" s="95"/>
      <c r="D614" s="92"/>
      <c r="E614" s="97"/>
    </row>
    <row r="615" spans="1:5" x14ac:dyDescent="0.2">
      <c r="A615" s="90"/>
      <c r="B615" s="91">
        <f t="shared" si="13"/>
        <v>0</v>
      </c>
      <c r="C615" s="95"/>
      <c r="D615" s="92"/>
      <c r="E615" s="97"/>
    </row>
    <row r="616" spans="1:5" x14ac:dyDescent="0.2">
      <c r="A616" s="90"/>
      <c r="B616" s="91">
        <f t="shared" si="13"/>
        <v>0</v>
      </c>
      <c r="C616" s="95"/>
      <c r="D616" s="92"/>
      <c r="E616" s="97"/>
    </row>
    <row r="617" spans="1:5" x14ac:dyDescent="0.2">
      <c r="A617" s="90"/>
      <c r="B617" s="91">
        <f t="shared" si="13"/>
        <v>0</v>
      </c>
      <c r="C617" s="95"/>
      <c r="D617" s="92"/>
      <c r="E617" s="97"/>
    </row>
    <row r="618" spans="1:5" x14ac:dyDescent="0.2">
      <c r="A618" s="90"/>
      <c r="B618" s="91">
        <f t="shared" si="13"/>
        <v>0</v>
      </c>
      <c r="C618" s="95"/>
      <c r="D618" s="92"/>
      <c r="E618" s="97"/>
    </row>
    <row r="619" spans="1:5" x14ac:dyDescent="0.2">
      <c r="A619" s="90"/>
      <c r="B619" s="91">
        <f t="shared" si="13"/>
        <v>0</v>
      </c>
      <c r="C619" s="95"/>
      <c r="D619" s="92"/>
      <c r="E619" s="97"/>
    </row>
    <row r="620" spans="1:5" x14ac:dyDescent="0.2">
      <c r="A620" s="90"/>
      <c r="B620" s="91">
        <f t="shared" si="13"/>
        <v>0</v>
      </c>
      <c r="C620" s="95"/>
      <c r="D620" s="92"/>
      <c r="E620" s="97"/>
    </row>
    <row r="621" spans="1:5" x14ac:dyDescent="0.2">
      <c r="A621" s="90"/>
      <c r="B621" s="91">
        <f t="shared" si="13"/>
        <v>0</v>
      </c>
      <c r="C621" s="95"/>
      <c r="D621" s="92"/>
      <c r="E621" s="97"/>
    </row>
    <row r="622" spans="1:5" x14ac:dyDescent="0.2">
      <c r="A622" s="90"/>
      <c r="B622" s="91">
        <f t="shared" si="13"/>
        <v>0</v>
      </c>
      <c r="C622" s="95"/>
      <c r="D622" s="92"/>
      <c r="E622" s="97"/>
    </row>
    <row r="623" spans="1:5" x14ac:dyDescent="0.2">
      <c r="A623" s="90"/>
      <c r="B623" s="91">
        <f t="shared" si="13"/>
        <v>0</v>
      </c>
      <c r="C623" s="95"/>
      <c r="D623" s="92"/>
      <c r="E623" s="97"/>
    </row>
    <row r="624" spans="1:5" x14ac:dyDescent="0.2">
      <c r="A624" s="90"/>
      <c r="B624" s="91">
        <f t="shared" si="13"/>
        <v>0</v>
      </c>
      <c r="C624" s="95"/>
      <c r="D624" s="92"/>
      <c r="E624" s="97"/>
    </row>
    <row r="625" spans="1:5" x14ac:dyDescent="0.2">
      <c r="A625" s="90"/>
      <c r="B625" s="91">
        <f t="shared" si="13"/>
        <v>0</v>
      </c>
      <c r="C625" s="95"/>
      <c r="D625" s="92"/>
      <c r="E625" s="97"/>
    </row>
    <row r="626" spans="1:5" x14ac:dyDescent="0.2">
      <c r="A626" s="90"/>
      <c r="B626" s="91">
        <f t="shared" si="13"/>
        <v>0</v>
      </c>
      <c r="C626" s="95"/>
      <c r="D626" s="92"/>
      <c r="E626" s="97"/>
    </row>
    <row r="627" spans="1:5" x14ac:dyDescent="0.2">
      <c r="A627" s="90"/>
      <c r="B627" s="91">
        <f t="shared" si="13"/>
        <v>0</v>
      </c>
      <c r="C627" s="95"/>
      <c r="D627" s="92"/>
      <c r="E627" s="97"/>
    </row>
    <row r="628" spans="1:5" x14ac:dyDescent="0.2">
      <c r="A628" s="90"/>
      <c r="B628" s="91">
        <f t="shared" si="13"/>
        <v>0</v>
      </c>
      <c r="C628" s="95"/>
      <c r="D628" s="92"/>
      <c r="E628" s="97"/>
    </row>
    <row r="629" spans="1:5" x14ac:dyDescent="0.2">
      <c r="A629" s="90"/>
      <c r="B629" s="91">
        <f t="shared" si="13"/>
        <v>0</v>
      </c>
      <c r="C629" s="95"/>
      <c r="D629" s="92"/>
      <c r="E629" s="97"/>
    </row>
    <row r="630" spans="1:5" x14ac:dyDescent="0.2">
      <c r="A630" s="90"/>
      <c r="B630" s="91">
        <f t="shared" si="13"/>
        <v>0</v>
      </c>
      <c r="C630" s="95"/>
      <c r="D630" s="92"/>
      <c r="E630" s="97"/>
    </row>
    <row r="631" spans="1:5" x14ac:dyDescent="0.2">
      <c r="A631" s="90"/>
      <c r="B631" s="91">
        <f t="shared" si="13"/>
        <v>0</v>
      </c>
      <c r="C631" s="95"/>
      <c r="D631" s="92"/>
      <c r="E631" s="97"/>
    </row>
    <row r="632" spans="1:5" x14ac:dyDescent="0.2">
      <c r="A632" s="90"/>
      <c r="B632" s="91">
        <f t="shared" si="13"/>
        <v>0</v>
      </c>
      <c r="C632" s="95"/>
      <c r="D632" s="92"/>
      <c r="E632" s="97"/>
    </row>
    <row r="633" spans="1:5" x14ac:dyDescent="0.2">
      <c r="A633" s="90"/>
      <c r="B633" s="91">
        <f t="shared" si="13"/>
        <v>0</v>
      </c>
      <c r="C633" s="95"/>
      <c r="D633" s="92"/>
      <c r="E633" s="97"/>
    </row>
    <row r="634" spans="1:5" x14ac:dyDescent="0.2">
      <c r="A634" s="90"/>
      <c r="B634" s="91">
        <f t="shared" si="13"/>
        <v>0</v>
      </c>
      <c r="C634" s="95"/>
      <c r="D634" s="92"/>
      <c r="E634" s="97"/>
    </row>
    <row r="635" spans="1:5" x14ac:dyDescent="0.2">
      <c r="A635" s="90"/>
      <c r="B635" s="91">
        <f t="shared" si="13"/>
        <v>0</v>
      </c>
      <c r="C635" s="95"/>
      <c r="D635" s="92"/>
      <c r="E635" s="97"/>
    </row>
    <row r="636" spans="1:5" x14ac:dyDescent="0.2">
      <c r="A636" s="90"/>
      <c r="B636" s="91">
        <f t="shared" si="13"/>
        <v>0</v>
      </c>
      <c r="C636" s="95"/>
      <c r="D636" s="92"/>
      <c r="E636" s="97"/>
    </row>
    <row r="637" spans="1:5" x14ac:dyDescent="0.2">
      <c r="A637" s="90"/>
      <c r="B637" s="91">
        <f t="shared" si="13"/>
        <v>0</v>
      </c>
      <c r="C637" s="95"/>
      <c r="D637" s="92"/>
      <c r="E637" s="97"/>
    </row>
    <row r="638" spans="1:5" x14ac:dyDescent="0.2">
      <c r="A638" s="90"/>
      <c r="B638" s="91">
        <f t="shared" ref="B638:B701" si="14">WEEKNUM(A638,1)</f>
        <v>0</v>
      </c>
      <c r="C638" s="95"/>
      <c r="D638" s="92"/>
      <c r="E638" s="97"/>
    </row>
    <row r="639" spans="1:5" x14ac:dyDescent="0.2">
      <c r="A639" s="90"/>
      <c r="B639" s="91">
        <f t="shared" si="14"/>
        <v>0</v>
      </c>
      <c r="C639" s="95"/>
      <c r="D639" s="92"/>
      <c r="E639" s="97"/>
    </row>
    <row r="640" spans="1:5" x14ac:dyDescent="0.2">
      <c r="A640" s="90"/>
      <c r="B640" s="91">
        <f t="shared" si="14"/>
        <v>0</v>
      </c>
      <c r="C640" s="95"/>
      <c r="D640" s="92"/>
      <c r="E640" s="97"/>
    </row>
    <row r="641" spans="1:5" x14ac:dyDescent="0.2">
      <c r="A641" s="90"/>
      <c r="B641" s="91">
        <f t="shared" si="14"/>
        <v>0</v>
      </c>
      <c r="C641" s="95"/>
      <c r="D641" s="92"/>
      <c r="E641" s="97"/>
    </row>
    <row r="642" spans="1:5" x14ac:dyDescent="0.2">
      <c r="A642" s="90"/>
      <c r="B642" s="91">
        <f t="shared" si="14"/>
        <v>0</v>
      </c>
      <c r="C642" s="95"/>
      <c r="D642" s="92"/>
      <c r="E642" s="97"/>
    </row>
    <row r="643" spans="1:5" x14ac:dyDescent="0.2">
      <c r="A643" s="90"/>
      <c r="B643" s="91">
        <f t="shared" si="14"/>
        <v>0</v>
      </c>
      <c r="C643" s="95"/>
      <c r="D643" s="92"/>
      <c r="E643" s="97"/>
    </row>
    <row r="644" spans="1:5" x14ac:dyDescent="0.2">
      <c r="A644" s="90"/>
      <c r="B644" s="91">
        <f t="shared" si="14"/>
        <v>0</v>
      </c>
      <c r="C644" s="95"/>
      <c r="D644" s="92"/>
      <c r="E644" s="97"/>
    </row>
    <row r="645" spans="1:5" x14ac:dyDescent="0.2">
      <c r="A645" s="90"/>
      <c r="B645" s="91">
        <f t="shared" si="14"/>
        <v>0</v>
      </c>
      <c r="C645" s="95"/>
      <c r="D645" s="92"/>
      <c r="E645" s="97"/>
    </row>
    <row r="646" spans="1:5" x14ac:dyDescent="0.2">
      <c r="A646" s="90"/>
      <c r="B646" s="91">
        <f t="shared" si="14"/>
        <v>0</v>
      </c>
      <c r="C646" s="95"/>
      <c r="D646" s="92"/>
      <c r="E646" s="97"/>
    </row>
    <row r="647" spans="1:5" x14ac:dyDescent="0.2">
      <c r="A647" s="90"/>
      <c r="B647" s="91">
        <f t="shared" si="14"/>
        <v>0</v>
      </c>
      <c r="C647" s="95"/>
      <c r="D647" s="92"/>
      <c r="E647" s="97"/>
    </row>
    <row r="648" spans="1:5" x14ac:dyDescent="0.2">
      <c r="A648" s="90"/>
      <c r="B648" s="91">
        <f t="shared" si="14"/>
        <v>0</v>
      </c>
      <c r="C648" s="95"/>
      <c r="D648" s="92"/>
      <c r="E648" s="97"/>
    </row>
    <row r="649" spans="1:5" x14ac:dyDescent="0.2">
      <c r="A649" s="90"/>
      <c r="B649" s="91">
        <f t="shared" si="14"/>
        <v>0</v>
      </c>
      <c r="C649" s="95"/>
      <c r="D649" s="92"/>
      <c r="E649" s="97"/>
    </row>
    <row r="650" spans="1:5" x14ac:dyDescent="0.2">
      <c r="A650" s="90"/>
      <c r="B650" s="91">
        <f t="shared" si="14"/>
        <v>0</v>
      </c>
      <c r="C650" s="95"/>
      <c r="D650" s="92"/>
      <c r="E650" s="97"/>
    </row>
    <row r="651" spans="1:5" x14ac:dyDescent="0.2">
      <c r="A651" s="90"/>
      <c r="B651" s="91">
        <f t="shared" si="14"/>
        <v>0</v>
      </c>
      <c r="C651" s="95"/>
      <c r="D651" s="92"/>
      <c r="E651" s="97"/>
    </row>
    <row r="652" spans="1:5" x14ac:dyDescent="0.2">
      <c r="A652" s="90"/>
      <c r="B652" s="91">
        <f t="shared" si="14"/>
        <v>0</v>
      </c>
      <c r="C652" s="95"/>
      <c r="D652" s="92"/>
      <c r="E652" s="97"/>
    </row>
    <row r="653" spans="1:5" x14ac:dyDescent="0.2">
      <c r="A653" s="90"/>
      <c r="B653" s="91">
        <f t="shared" si="14"/>
        <v>0</v>
      </c>
      <c r="C653" s="95"/>
      <c r="D653" s="92"/>
      <c r="E653" s="97"/>
    </row>
    <row r="654" spans="1:5" x14ac:dyDescent="0.2">
      <c r="A654" s="90"/>
      <c r="B654" s="91">
        <f t="shared" si="14"/>
        <v>0</v>
      </c>
      <c r="C654" s="95"/>
      <c r="D654" s="92"/>
      <c r="E654" s="97"/>
    </row>
    <row r="655" spans="1:5" x14ac:dyDescent="0.2">
      <c r="A655" s="90"/>
      <c r="B655" s="91">
        <f t="shared" si="14"/>
        <v>0</v>
      </c>
      <c r="C655" s="95"/>
      <c r="D655" s="92"/>
      <c r="E655" s="97"/>
    </row>
    <row r="656" spans="1:5" x14ac:dyDescent="0.2">
      <c r="A656" s="90"/>
      <c r="B656" s="91">
        <f t="shared" si="14"/>
        <v>0</v>
      </c>
      <c r="C656" s="95"/>
      <c r="D656" s="92"/>
      <c r="E656" s="97"/>
    </row>
    <row r="657" spans="1:5" x14ac:dyDescent="0.2">
      <c r="A657" s="90"/>
      <c r="B657" s="91">
        <f t="shared" si="14"/>
        <v>0</v>
      </c>
      <c r="C657" s="95"/>
      <c r="D657" s="92"/>
      <c r="E657" s="97"/>
    </row>
    <row r="658" spans="1:5" x14ac:dyDescent="0.2">
      <c r="A658" s="90"/>
      <c r="B658" s="91">
        <f t="shared" si="14"/>
        <v>0</v>
      </c>
      <c r="C658" s="95"/>
      <c r="D658" s="92"/>
      <c r="E658" s="97"/>
    </row>
    <row r="659" spans="1:5" x14ac:dyDescent="0.2">
      <c r="A659" s="90"/>
      <c r="B659" s="91">
        <f t="shared" si="14"/>
        <v>0</v>
      </c>
      <c r="C659" s="95"/>
      <c r="D659" s="92"/>
      <c r="E659" s="97"/>
    </row>
    <row r="660" spans="1:5" x14ac:dyDescent="0.2">
      <c r="A660" s="90"/>
      <c r="B660" s="91">
        <f t="shared" si="14"/>
        <v>0</v>
      </c>
      <c r="C660" s="95"/>
      <c r="D660" s="92"/>
      <c r="E660" s="97"/>
    </row>
    <row r="661" spans="1:5" x14ac:dyDescent="0.2">
      <c r="A661" s="90"/>
      <c r="B661" s="91">
        <f t="shared" si="14"/>
        <v>0</v>
      </c>
      <c r="C661" s="95"/>
      <c r="D661" s="92"/>
      <c r="E661" s="97"/>
    </row>
    <row r="662" spans="1:5" x14ac:dyDescent="0.2">
      <c r="A662" s="90"/>
      <c r="B662" s="91">
        <f t="shared" si="14"/>
        <v>0</v>
      </c>
      <c r="C662" s="95"/>
      <c r="D662" s="92"/>
      <c r="E662" s="97"/>
    </row>
    <row r="663" spans="1:5" x14ac:dyDescent="0.2">
      <c r="A663" s="90"/>
      <c r="B663" s="91">
        <f t="shared" si="14"/>
        <v>0</v>
      </c>
      <c r="C663" s="95"/>
      <c r="D663" s="92"/>
      <c r="E663" s="97"/>
    </row>
    <row r="664" spans="1:5" x14ac:dyDescent="0.2">
      <c r="A664" s="90"/>
      <c r="B664" s="91">
        <f t="shared" si="14"/>
        <v>0</v>
      </c>
      <c r="C664" s="95"/>
      <c r="D664" s="92"/>
      <c r="E664" s="97"/>
    </row>
    <row r="665" spans="1:5" x14ac:dyDescent="0.2">
      <c r="A665" s="90"/>
      <c r="B665" s="91">
        <f t="shared" si="14"/>
        <v>0</v>
      </c>
      <c r="C665" s="95"/>
      <c r="D665" s="92"/>
      <c r="E665" s="97"/>
    </row>
    <row r="666" spans="1:5" x14ac:dyDescent="0.2">
      <c r="A666" s="90"/>
      <c r="B666" s="91">
        <f t="shared" si="14"/>
        <v>0</v>
      </c>
      <c r="C666" s="95"/>
      <c r="D666" s="92"/>
      <c r="E666" s="97"/>
    </row>
    <row r="667" spans="1:5" x14ac:dyDescent="0.2">
      <c r="A667" s="90"/>
      <c r="B667" s="91">
        <f t="shared" si="14"/>
        <v>0</v>
      </c>
      <c r="C667" s="95"/>
      <c r="D667" s="92"/>
      <c r="E667" s="97"/>
    </row>
    <row r="668" spans="1:5" x14ac:dyDescent="0.2">
      <c r="A668" s="90"/>
      <c r="B668" s="91">
        <f t="shared" si="14"/>
        <v>0</v>
      </c>
      <c r="C668" s="95"/>
      <c r="D668" s="92"/>
      <c r="E668" s="97"/>
    </row>
    <row r="669" spans="1:5" x14ac:dyDescent="0.2">
      <c r="A669" s="90"/>
      <c r="B669" s="91">
        <f t="shared" si="14"/>
        <v>0</v>
      </c>
      <c r="C669" s="95"/>
      <c r="D669" s="92"/>
      <c r="E669" s="97"/>
    </row>
    <row r="670" spans="1:5" x14ac:dyDescent="0.2">
      <c r="A670" s="90"/>
      <c r="B670" s="91">
        <f t="shared" si="14"/>
        <v>0</v>
      </c>
      <c r="C670" s="95"/>
      <c r="D670" s="92"/>
      <c r="E670" s="97"/>
    </row>
    <row r="671" spans="1:5" x14ac:dyDescent="0.2">
      <c r="A671" s="90"/>
      <c r="B671" s="91">
        <f t="shared" si="14"/>
        <v>0</v>
      </c>
      <c r="C671" s="95"/>
      <c r="D671" s="92"/>
      <c r="E671" s="97"/>
    </row>
    <row r="672" spans="1:5" x14ac:dyDescent="0.2">
      <c r="A672" s="90"/>
      <c r="B672" s="91">
        <f t="shared" si="14"/>
        <v>0</v>
      </c>
      <c r="C672" s="95"/>
      <c r="D672" s="92"/>
      <c r="E672" s="97"/>
    </row>
    <row r="673" spans="1:5" x14ac:dyDescent="0.2">
      <c r="A673" s="90"/>
      <c r="B673" s="91">
        <f t="shared" si="14"/>
        <v>0</v>
      </c>
      <c r="C673" s="95"/>
      <c r="D673" s="92"/>
      <c r="E673" s="97"/>
    </row>
    <row r="674" spans="1:5" x14ac:dyDescent="0.2">
      <c r="A674" s="90"/>
      <c r="B674" s="91">
        <f t="shared" si="14"/>
        <v>0</v>
      </c>
      <c r="C674" s="95"/>
      <c r="D674" s="92"/>
      <c r="E674" s="97"/>
    </row>
    <row r="675" spans="1:5" x14ac:dyDescent="0.2">
      <c r="A675" s="90"/>
      <c r="B675" s="91">
        <f t="shared" si="14"/>
        <v>0</v>
      </c>
      <c r="C675" s="95"/>
      <c r="D675" s="92"/>
      <c r="E675" s="97"/>
    </row>
    <row r="676" spans="1:5" x14ac:dyDescent="0.2">
      <c r="A676" s="90"/>
      <c r="B676" s="91">
        <f t="shared" si="14"/>
        <v>0</v>
      </c>
      <c r="C676" s="95"/>
      <c r="D676" s="92"/>
      <c r="E676" s="97"/>
    </row>
    <row r="677" spans="1:5" x14ac:dyDescent="0.2">
      <c r="A677" s="90"/>
      <c r="B677" s="91">
        <f t="shared" si="14"/>
        <v>0</v>
      </c>
      <c r="C677" s="95"/>
      <c r="D677" s="92"/>
      <c r="E677" s="97"/>
    </row>
    <row r="678" spans="1:5" x14ac:dyDescent="0.2">
      <c r="A678" s="90"/>
      <c r="B678" s="91">
        <f t="shared" si="14"/>
        <v>0</v>
      </c>
      <c r="C678" s="95"/>
      <c r="D678" s="92"/>
      <c r="E678" s="97"/>
    </row>
    <row r="679" spans="1:5" x14ac:dyDescent="0.2">
      <c r="A679" s="90"/>
      <c r="B679" s="91">
        <f t="shared" si="14"/>
        <v>0</v>
      </c>
      <c r="C679" s="95"/>
      <c r="D679" s="92"/>
      <c r="E679" s="97"/>
    </row>
    <row r="680" spans="1:5" x14ac:dyDescent="0.2">
      <c r="A680" s="90"/>
      <c r="B680" s="91">
        <f t="shared" si="14"/>
        <v>0</v>
      </c>
      <c r="C680" s="95"/>
      <c r="D680" s="92"/>
      <c r="E680" s="97"/>
    </row>
    <row r="681" spans="1:5" x14ac:dyDescent="0.2">
      <c r="A681" s="90"/>
      <c r="B681" s="91">
        <f t="shared" si="14"/>
        <v>0</v>
      </c>
      <c r="C681" s="95"/>
      <c r="D681" s="92"/>
      <c r="E681" s="97"/>
    </row>
    <row r="682" spans="1:5" x14ac:dyDescent="0.2">
      <c r="A682" s="90"/>
      <c r="B682" s="91">
        <f t="shared" si="14"/>
        <v>0</v>
      </c>
      <c r="C682" s="95"/>
      <c r="D682" s="92"/>
      <c r="E682" s="97"/>
    </row>
    <row r="683" spans="1:5" x14ac:dyDescent="0.2">
      <c r="A683" s="90"/>
      <c r="B683" s="91">
        <f t="shared" si="14"/>
        <v>0</v>
      </c>
      <c r="C683" s="95"/>
      <c r="D683" s="92"/>
      <c r="E683" s="97"/>
    </row>
    <row r="684" spans="1:5" x14ac:dyDescent="0.2">
      <c r="A684" s="90"/>
      <c r="B684" s="91">
        <f t="shared" si="14"/>
        <v>0</v>
      </c>
      <c r="C684" s="95"/>
      <c r="D684" s="92"/>
      <c r="E684" s="97"/>
    </row>
    <row r="685" spans="1:5" x14ac:dyDescent="0.2">
      <c r="A685" s="90"/>
      <c r="B685" s="91">
        <f t="shared" si="14"/>
        <v>0</v>
      </c>
      <c r="C685" s="95"/>
      <c r="D685" s="92"/>
      <c r="E685" s="97"/>
    </row>
    <row r="686" spans="1:5" x14ac:dyDescent="0.2">
      <c r="A686" s="90"/>
      <c r="B686" s="91">
        <f t="shared" si="14"/>
        <v>0</v>
      </c>
      <c r="C686" s="95"/>
      <c r="D686" s="92"/>
      <c r="E686" s="97"/>
    </row>
    <row r="687" spans="1:5" x14ac:dyDescent="0.2">
      <c r="A687" s="90"/>
      <c r="B687" s="91">
        <f t="shared" si="14"/>
        <v>0</v>
      </c>
      <c r="C687" s="95"/>
      <c r="D687" s="92"/>
      <c r="E687" s="97"/>
    </row>
    <row r="688" spans="1:5" x14ac:dyDescent="0.2">
      <c r="A688" s="90"/>
      <c r="B688" s="91">
        <f t="shared" si="14"/>
        <v>0</v>
      </c>
      <c r="C688" s="95"/>
      <c r="D688" s="92"/>
      <c r="E688" s="97"/>
    </row>
    <row r="689" spans="1:5" x14ac:dyDescent="0.2">
      <c r="A689" s="90"/>
      <c r="B689" s="91">
        <f t="shared" si="14"/>
        <v>0</v>
      </c>
      <c r="C689" s="95"/>
      <c r="D689" s="92"/>
      <c r="E689" s="97"/>
    </row>
    <row r="690" spans="1:5" x14ac:dyDescent="0.2">
      <c r="A690" s="90"/>
      <c r="B690" s="91">
        <f t="shared" si="14"/>
        <v>0</v>
      </c>
      <c r="C690" s="95"/>
      <c r="D690" s="92"/>
      <c r="E690" s="97"/>
    </row>
    <row r="691" spans="1:5" x14ac:dyDescent="0.2">
      <c r="A691" s="90"/>
      <c r="B691" s="91">
        <f t="shared" si="14"/>
        <v>0</v>
      </c>
      <c r="C691" s="95"/>
      <c r="D691" s="92"/>
      <c r="E691" s="97"/>
    </row>
    <row r="692" spans="1:5" x14ac:dyDescent="0.2">
      <c r="A692" s="90"/>
      <c r="B692" s="91">
        <f t="shared" si="14"/>
        <v>0</v>
      </c>
      <c r="C692" s="95"/>
      <c r="D692" s="92"/>
      <c r="E692" s="97"/>
    </row>
    <row r="693" spans="1:5" x14ac:dyDescent="0.2">
      <c r="A693" s="90"/>
      <c r="B693" s="91">
        <f t="shared" si="14"/>
        <v>0</v>
      </c>
      <c r="C693" s="95"/>
      <c r="D693" s="92"/>
      <c r="E693" s="97"/>
    </row>
    <row r="694" spans="1:5" x14ac:dyDescent="0.2">
      <c r="A694" s="90"/>
      <c r="B694" s="91">
        <f t="shared" si="14"/>
        <v>0</v>
      </c>
      <c r="C694" s="95"/>
      <c r="D694" s="92"/>
      <c r="E694" s="97"/>
    </row>
    <row r="695" spans="1:5" x14ac:dyDescent="0.2">
      <c r="A695" s="90"/>
      <c r="B695" s="91">
        <f t="shared" si="14"/>
        <v>0</v>
      </c>
      <c r="C695" s="95"/>
      <c r="D695" s="92"/>
      <c r="E695" s="97"/>
    </row>
    <row r="696" spans="1:5" x14ac:dyDescent="0.2">
      <c r="A696" s="90"/>
      <c r="B696" s="91">
        <f t="shared" si="14"/>
        <v>0</v>
      </c>
      <c r="C696" s="95"/>
      <c r="D696" s="92"/>
      <c r="E696" s="97"/>
    </row>
    <row r="697" spans="1:5" x14ac:dyDescent="0.2">
      <c r="A697" s="90"/>
      <c r="B697" s="91">
        <f t="shared" si="14"/>
        <v>0</v>
      </c>
      <c r="C697" s="95"/>
      <c r="D697" s="92"/>
      <c r="E697" s="97"/>
    </row>
    <row r="698" spans="1:5" x14ac:dyDescent="0.2">
      <c r="A698" s="90"/>
      <c r="B698" s="91">
        <f t="shared" si="14"/>
        <v>0</v>
      </c>
      <c r="C698" s="95"/>
      <c r="D698" s="92"/>
      <c r="E698" s="97"/>
    </row>
    <row r="699" spans="1:5" x14ac:dyDescent="0.2">
      <c r="A699" s="90"/>
      <c r="B699" s="91">
        <f t="shared" si="14"/>
        <v>0</v>
      </c>
      <c r="C699" s="95"/>
      <c r="D699" s="92"/>
      <c r="E699" s="97"/>
    </row>
    <row r="700" spans="1:5" x14ac:dyDescent="0.2">
      <c r="A700" s="90"/>
      <c r="B700" s="91">
        <f t="shared" si="14"/>
        <v>0</v>
      </c>
      <c r="C700" s="95"/>
      <c r="D700" s="92"/>
      <c r="E700" s="97"/>
    </row>
    <row r="701" spans="1:5" x14ac:dyDescent="0.2">
      <c r="A701" s="90"/>
      <c r="B701" s="91">
        <f t="shared" si="14"/>
        <v>0</v>
      </c>
      <c r="C701" s="95"/>
      <c r="D701" s="92"/>
      <c r="E701" s="97"/>
    </row>
    <row r="702" spans="1:5" x14ac:dyDescent="0.2">
      <c r="A702" s="90"/>
      <c r="B702" s="91">
        <f t="shared" ref="B702:B752" si="15">WEEKNUM(A702,1)</f>
        <v>0</v>
      </c>
      <c r="C702" s="95"/>
      <c r="D702" s="92"/>
      <c r="E702" s="97"/>
    </row>
    <row r="703" spans="1:5" x14ac:dyDescent="0.2">
      <c r="A703" s="90"/>
      <c r="B703" s="91">
        <f t="shared" si="15"/>
        <v>0</v>
      </c>
      <c r="C703" s="95"/>
      <c r="D703" s="92"/>
      <c r="E703" s="97"/>
    </row>
    <row r="704" spans="1:5" x14ac:dyDescent="0.2">
      <c r="A704" s="90"/>
      <c r="B704" s="91">
        <f t="shared" si="15"/>
        <v>0</v>
      </c>
      <c r="C704" s="95"/>
      <c r="D704" s="92"/>
      <c r="E704" s="97"/>
    </row>
    <row r="705" spans="1:5" x14ac:dyDescent="0.2">
      <c r="A705" s="90"/>
      <c r="B705" s="91">
        <f t="shared" si="15"/>
        <v>0</v>
      </c>
      <c r="C705" s="95"/>
      <c r="D705" s="92"/>
      <c r="E705" s="97"/>
    </row>
    <row r="706" spans="1:5" x14ac:dyDescent="0.2">
      <c r="A706" s="90"/>
      <c r="B706" s="91">
        <f t="shared" si="15"/>
        <v>0</v>
      </c>
      <c r="C706" s="95"/>
      <c r="D706" s="92"/>
      <c r="E706" s="97"/>
    </row>
    <row r="707" spans="1:5" x14ac:dyDescent="0.2">
      <c r="A707" s="90"/>
      <c r="B707" s="91">
        <f t="shared" si="15"/>
        <v>0</v>
      </c>
      <c r="C707" s="95"/>
      <c r="D707" s="92"/>
      <c r="E707" s="97"/>
    </row>
    <row r="708" spans="1:5" x14ac:dyDescent="0.2">
      <c r="A708" s="90"/>
      <c r="B708" s="91">
        <f t="shared" si="15"/>
        <v>0</v>
      </c>
      <c r="C708" s="95"/>
      <c r="D708" s="92"/>
      <c r="E708" s="97"/>
    </row>
    <row r="709" spans="1:5" x14ac:dyDescent="0.2">
      <c r="A709" s="90"/>
      <c r="B709" s="91">
        <f t="shared" si="15"/>
        <v>0</v>
      </c>
      <c r="C709" s="95"/>
      <c r="D709" s="92"/>
      <c r="E709" s="97"/>
    </row>
    <row r="710" spans="1:5" x14ac:dyDescent="0.2">
      <c r="A710" s="90"/>
      <c r="B710" s="91">
        <f t="shared" si="15"/>
        <v>0</v>
      </c>
      <c r="C710" s="95"/>
      <c r="D710" s="92"/>
      <c r="E710" s="97"/>
    </row>
    <row r="711" spans="1:5" x14ac:dyDescent="0.2">
      <c r="A711" s="90"/>
      <c r="B711" s="91">
        <f t="shared" si="15"/>
        <v>0</v>
      </c>
      <c r="C711" s="95"/>
      <c r="D711" s="92"/>
      <c r="E711" s="97"/>
    </row>
    <row r="712" spans="1:5" x14ac:dyDescent="0.2">
      <c r="A712" s="90"/>
      <c r="B712" s="91">
        <f t="shared" si="15"/>
        <v>0</v>
      </c>
      <c r="C712" s="95"/>
      <c r="D712" s="92"/>
      <c r="E712" s="97"/>
    </row>
    <row r="713" spans="1:5" x14ac:dyDescent="0.2">
      <c r="A713" s="90"/>
      <c r="B713" s="91">
        <f t="shared" si="15"/>
        <v>0</v>
      </c>
      <c r="C713" s="95"/>
      <c r="D713" s="92"/>
      <c r="E713" s="97"/>
    </row>
    <row r="714" spans="1:5" x14ac:dyDescent="0.2">
      <c r="A714" s="90"/>
      <c r="B714" s="91">
        <f t="shared" si="15"/>
        <v>0</v>
      </c>
      <c r="C714" s="95"/>
      <c r="D714" s="92"/>
      <c r="E714" s="97"/>
    </row>
    <row r="715" spans="1:5" x14ac:dyDescent="0.2">
      <c r="A715" s="90"/>
      <c r="B715" s="91">
        <f t="shared" si="15"/>
        <v>0</v>
      </c>
      <c r="C715" s="95"/>
      <c r="D715" s="92"/>
      <c r="E715" s="97"/>
    </row>
    <row r="716" spans="1:5" x14ac:dyDescent="0.2">
      <c r="A716" s="90"/>
      <c r="B716" s="91">
        <f t="shared" si="15"/>
        <v>0</v>
      </c>
      <c r="C716" s="95"/>
      <c r="D716" s="92"/>
      <c r="E716" s="97"/>
    </row>
    <row r="717" spans="1:5" x14ac:dyDescent="0.2">
      <c r="A717" s="90"/>
      <c r="B717" s="91">
        <f t="shared" si="15"/>
        <v>0</v>
      </c>
      <c r="C717" s="95"/>
      <c r="D717" s="92"/>
      <c r="E717" s="97"/>
    </row>
    <row r="718" spans="1:5" x14ac:dyDescent="0.2">
      <c r="A718" s="90"/>
      <c r="B718" s="91">
        <f t="shared" si="15"/>
        <v>0</v>
      </c>
      <c r="C718" s="95"/>
      <c r="D718" s="92"/>
      <c r="E718" s="97"/>
    </row>
    <row r="719" spans="1:5" x14ac:dyDescent="0.2">
      <c r="A719" s="90"/>
      <c r="B719" s="91">
        <f t="shared" si="15"/>
        <v>0</v>
      </c>
      <c r="C719" s="95"/>
      <c r="D719" s="92"/>
      <c r="E719" s="97"/>
    </row>
    <row r="720" spans="1:5" x14ac:dyDescent="0.2">
      <c r="A720" s="90"/>
      <c r="B720" s="91">
        <f t="shared" si="15"/>
        <v>0</v>
      </c>
      <c r="C720" s="95"/>
      <c r="D720" s="92"/>
      <c r="E720" s="97"/>
    </row>
    <row r="721" spans="1:5" x14ac:dyDescent="0.2">
      <c r="A721" s="90"/>
      <c r="B721" s="91">
        <f t="shared" si="15"/>
        <v>0</v>
      </c>
      <c r="C721" s="95"/>
      <c r="D721" s="92"/>
      <c r="E721" s="97"/>
    </row>
    <row r="722" spans="1:5" x14ac:dyDescent="0.2">
      <c r="A722" s="90"/>
      <c r="B722" s="91">
        <f t="shared" si="15"/>
        <v>0</v>
      </c>
      <c r="C722" s="95"/>
      <c r="D722" s="92"/>
      <c r="E722" s="97"/>
    </row>
    <row r="723" spans="1:5" x14ac:dyDescent="0.2">
      <c r="A723" s="90"/>
      <c r="B723" s="91">
        <f t="shared" si="15"/>
        <v>0</v>
      </c>
      <c r="C723" s="95"/>
      <c r="D723" s="92"/>
      <c r="E723" s="97"/>
    </row>
    <row r="724" spans="1:5" x14ac:dyDescent="0.2">
      <c r="A724" s="90"/>
      <c r="B724" s="91">
        <f t="shared" si="15"/>
        <v>0</v>
      </c>
      <c r="C724" s="95"/>
      <c r="D724" s="92"/>
      <c r="E724" s="97"/>
    </row>
    <row r="725" spans="1:5" x14ac:dyDescent="0.2">
      <c r="A725" s="90"/>
      <c r="B725" s="91">
        <f t="shared" si="15"/>
        <v>0</v>
      </c>
      <c r="C725" s="95"/>
      <c r="D725" s="92"/>
      <c r="E725" s="97"/>
    </row>
    <row r="726" spans="1:5" x14ac:dyDescent="0.2">
      <c r="A726" s="90"/>
      <c r="B726" s="91">
        <f t="shared" si="15"/>
        <v>0</v>
      </c>
      <c r="C726" s="95"/>
      <c r="D726" s="92"/>
      <c r="E726" s="97"/>
    </row>
    <row r="727" spans="1:5" x14ac:dyDescent="0.2">
      <c r="A727" s="90"/>
      <c r="B727" s="91">
        <f t="shared" si="15"/>
        <v>0</v>
      </c>
      <c r="C727" s="95"/>
      <c r="D727" s="92"/>
      <c r="E727" s="97"/>
    </row>
    <row r="728" spans="1:5" x14ac:dyDescent="0.2">
      <c r="A728" s="90"/>
      <c r="B728" s="91">
        <f t="shared" si="15"/>
        <v>0</v>
      </c>
      <c r="C728" s="95"/>
      <c r="D728" s="92"/>
      <c r="E728" s="97"/>
    </row>
    <row r="729" spans="1:5" x14ac:dyDescent="0.2">
      <c r="A729" s="90"/>
      <c r="B729" s="91">
        <f t="shared" si="15"/>
        <v>0</v>
      </c>
      <c r="C729" s="95"/>
      <c r="D729" s="92"/>
      <c r="E729" s="97"/>
    </row>
    <row r="730" spans="1:5" x14ac:dyDescent="0.2">
      <c r="A730" s="90"/>
      <c r="B730" s="91">
        <f t="shared" si="15"/>
        <v>0</v>
      </c>
      <c r="C730" s="95"/>
      <c r="D730" s="92"/>
      <c r="E730" s="97"/>
    </row>
    <row r="731" spans="1:5" x14ac:dyDescent="0.2">
      <c r="A731" s="90"/>
      <c r="B731" s="91">
        <f t="shared" si="15"/>
        <v>0</v>
      </c>
      <c r="C731" s="95"/>
      <c r="D731" s="92"/>
      <c r="E731" s="97"/>
    </row>
    <row r="732" spans="1:5" x14ac:dyDescent="0.2">
      <c r="A732" s="90"/>
      <c r="B732" s="91">
        <f t="shared" si="15"/>
        <v>0</v>
      </c>
      <c r="C732" s="95"/>
      <c r="D732" s="92"/>
      <c r="E732" s="97"/>
    </row>
    <row r="733" spans="1:5" x14ac:dyDescent="0.2">
      <c r="A733" s="90"/>
      <c r="B733" s="91">
        <f t="shared" si="15"/>
        <v>0</v>
      </c>
      <c r="C733" s="95"/>
      <c r="D733" s="92"/>
      <c r="E733" s="97"/>
    </row>
    <row r="734" spans="1:5" x14ac:dyDescent="0.2">
      <c r="A734" s="90"/>
      <c r="B734" s="91">
        <f t="shared" si="15"/>
        <v>0</v>
      </c>
      <c r="C734" s="95"/>
      <c r="D734" s="92"/>
      <c r="E734" s="97"/>
    </row>
    <row r="735" spans="1:5" x14ac:dyDescent="0.2">
      <c r="A735" s="90"/>
      <c r="B735" s="91">
        <f t="shared" si="15"/>
        <v>0</v>
      </c>
      <c r="C735" s="95"/>
      <c r="D735" s="92"/>
      <c r="E735" s="97"/>
    </row>
    <row r="736" spans="1:5" x14ac:dyDescent="0.2">
      <c r="A736" s="90"/>
      <c r="B736" s="91">
        <f t="shared" si="15"/>
        <v>0</v>
      </c>
      <c r="C736" s="95"/>
      <c r="D736" s="92"/>
      <c r="E736" s="97"/>
    </row>
    <row r="737" spans="1:5" x14ac:dyDescent="0.2">
      <c r="A737" s="90"/>
      <c r="B737" s="91">
        <f t="shared" si="15"/>
        <v>0</v>
      </c>
      <c r="C737" s="95"/>
      <c r="D737" s="92"/>
      <c r="E737" s="97"/>
    </row>
    <row r="738" spans="1:5" x14ac:dyDescent="0.2">
      <c r="A738" s="90"/>
      <c r="B738" s="91">
        <f t="shared" si="15"/>
        <v>0</v>
      </c>
      <c r="C738" s="95"/>
      <c r="D738" s="92"/>
      <c r="E738" s="97"/>
    </row>
    <row r="739" spans="1:5" x14ac:dyDescent="0.2">
      <c r="A739" s="90"/>
      <c r="B739" s="91">
        <f t="shared" si="15"/>
        <v>0</v>
      </c>
      <c r="C739" s="95"/>
      <c r="D739" s="92"/>
      <c r="E739" s="97"/>
    </row>
    <row r="740" spans="1:5" x14ac:dyDescent="0.2">
      <c r="A740" s="90"/>
      <c r="B740" s="91">
        <f t="shared" si="15"/>
        <v>0</v>
      </c>
      <c r="C740" s="95"/>
      <c r="D740" s="92"/>
      <c r="E740" s="97"/>
    </row>
    <row r="741" spans="1:5" x14ac:dyDescent="0.2">
      <c r="A741" s="90"/>
      <c r="B741" s="91">
        <f t="shared" si="15"/>
        <v>0</v>
      </c>
      <c r="C741" s="95"/>
      <c r="D741" s="92"/>
      <c r="E741" s="97"/>
    </row>
    <row r="742" spans="1:5" x14ac:dyDescent="0.2">
      <c r="A742" s="90"/>
      <c r="B742" s="91">
        <f t="shared" si="15"/>
        <v>0</v>
      </c>
      <c r="C742" s="95"/>
      <c r="D742" s="92"/>
      <c r="E742" s="97"/>
    </row>
    <row r="743" spans="1:5" x14ac:dyDescent="0.2">
      <c r="A743" s="90"/>
      <c r="B743" s="91">
        <f t="shared" si="15"/>
        <v>0</v>
      </c>
      <c r="C743" s="95"/>
      <c r="D743" s="92"/>
      <c r="E743" s="97"/>
    </row>
    <row r="744" spans="1:5" x14ac:dyDescent="0.2">
      <c r="A744" s="90"/>
      <c r="B744" s="91">
        <f t="shared" si="15"/>
        <v>0</v>
      </c>
      <c r="C744" s="95"/>
      <c r="D744" s="92"/>
      <c r="E744" s="97"/>
    </row>
    <row r="745" spans="1:5" x14ac:dyDescent="0.2">
      <c r="A745" s="90"/>
      <c r="B745" s="91">
        <f t="shared" si="15"/>
        <v>0</v>
      </c>
      <c r="C745" s="95"/>
      <c r="D745" s="92"/>
      <c r="E745" s="97"/>
    </row>
    <row r="746" spans="1:5" x14ac:dyDescent="0.2">
      <c r="A746" s="90"/>
      <c r="B746" s="91">
        <f t="shared" si="15"/>
        <v>0</v>
      </c>
      <c r="C746" s="95"/>
      <c r="D746" s="92"/>
      <c r="E746" s="97"/>
    </row>
    <row r="747" spans="1:5" x14ac:dyDescent="0.2">
      <c r="A747" s="90"/>
      <c r="B747" s="91">
        <f t="shared" si="15"/>
        <v>0</v>
      </c>
      <c r="C747" s="95"/>
      <c r="D747" s="92"/>
      <c r="E747" s="97"/>
    </row>
    <row r="748" spans="1:5" x14ac:dyDescent="0.2">
      <c r="A748" s="90"/>
      <c r="B748" s="91">
        <f t="shared" si="15"/>
        <v>0</v>
      </c>
      <c r="C748" s="95"/>
      <c r="D748" s="92"/>
      <c r="E748" s="97"/>
    </row>
    <row r="749" spans="1:5" x14ac:dyDescent="0.2">
      <c r="A749" s="90"/>
      <c r="B749" s="91">
        <f t="shared" si="15"/>
        <v>0</v>
      </c>
      <c r="C749" s="95"/>
      <c r="D749" s="92"/>
      <c r="E749" s="97"/>
    </row>
    <row r="750" spans="1:5" x14ac:dyDescent="0.2">
      <c r="A750" s="90"/>
      <c r="B750" s="91">
        <f t="shared" si="15"/>
        <v>0</v>
      </c>
      <c r="C750" s="95"/>
      <c r="D750" s="92"/>
      <c r="E750" s="97"/>
    </row>
    <row r="751" spans="1:5" x14ac:dyDescent="0.2">
      <c r="A751" s="90"/>
      <c r="B751" s="91">
        <f t="shared" si="15"/>
        <v>0</v>
      </c>
      <c r="C751" s="95"/>
      <c r="D751" s="92"/>
      <c r="E751" s="97"/>
    </row>
    <row r="752" spans="1:5" x14ac:dyDescent="0.2">
      <c r="A752" s="90"/>
      <c r="B752" s="91">
        <f t="shared" si="15"/>
        <v>0</v>
      </c>
      <c r="C752" s="95"/>
      <c r="D752" s="92"/>
      <c r="E752" s="97"/>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6"/>
  <sheetViews>
    <sheetView workbookViewId="0">
      <selection activeCell="L22" sqref="L22"/>
    </sheetView>
  </sheetViews>
  <sheetFormatPr baseColWidth="10" defaultRowHeight="15" x14ac:dyDescent="0.25"/>
  <sheetData>
    <row r="1" spans="1:11" x14ac:dyDescent="0.25">
      <c r="A1" t="s">
        <v>83</v>
      </c>
      <c r="B1" t="s">
        <v>84</v>
      </c>
      <c r="D1" t="s">
        <v>85</v>
      </c>
      <c r="E1" t="s">
        <v>86</v>
      </c>
      <c r="F1" t="s">
        <v>87</v>
      </c>
      <c r="G1" t="s">
        <v>88</v>
      </c>
      <c r="H1" t="s">
        <v>89</v>
      </c>
    </row>
    <row r="2" spans="1:11" x14ac:dyDescent="0.25">
      <c r="A2" s="106">
        <v>45047</v>
      </c>
      <c r="B2" s="106">
        <v>45051</v>
      </c>
      <c r="C2">
        <v>1</v>
      </c>
      <c r="D2" s="107">
        <v>0</v>
      </c>
      <c r="E2" s="108">
        <v>0.2986111111111111</v>
      </c>
      <c r="F2" s="108">
        <v>0.16666666666666666</v>
      </c>
      <c r="G2" s="108">
        <v>0.2986111111111111</v>
      </c>
      <c r="H2" s="108">
        <v>0</v>
      </c>
      <c r="I2" s="107">
        <f>SUM(D2:H2)</f>
        <v>0.76388888888888884</v>
      </c>
      <c r="K2" s="109"/>
    </row>
    <row r="3" spans="1:11" x14ac:dyDescent="0.25">
      <c r="A3" s="106">
        <v>45054</v>
      </c>
      <c r="B3" s="106">
        <v>45057</v>
      </c>
      <c r="C3">
        <v>2</v>
      </c>
      <c r="D3" s="108">
        <v>0.23263888888888887</v>
      </c>
      <c r="E3" s="108">
        <v>0.2986111111111111</v>
      </c>
      <c r="F3" s="108">
        <v>0.16666666666666666</v>
      </c>
      <c r="G3" s="108">
        <v>0.2986111111111111</v>
      </c>
      <c r="H3" s="108">
        <v>0</v>
      </c>
      <c r="I3" s="107">
        <f>SUM(D3:G3)</f>
        <v>0.99652777777777768</v>
      </c>
      <c r="K3" s="109"/>
    </row>
    <row r="4" spans="1:11" x14ac:dyDescent="0.25">
      <c r="A4" s="106">
        <v>45061</v>
      </c>
      <c r="B4" s="106">
        <v>45065</v>
      </c>
      <c r="C4">
        <v>3</v>
      </c>
      <c r="D4" s="108">
        <v>0.23263888888888887</v>
      </c>
      <c r="E4" s="108">
        <v>0.2986111111111111</v>
      </c>
      <c r="F4" s="108">
        <v>0.16666666666666666</v>
      </c>
      <c r="G4" s="108">
        <v>0</v>
      </c>
      <c r="H4" s="108">
        <v>0</v>
      </c>
      <c r="I4" s="107">
        <f>SUM(D4:G4)</f>
        <v>0.69791666666666663</v>
      </c>
      <c r="K4" s="109"/>
    </row>
    <row r="5" spans="1:11" x14ac:dyDescent="0.25">
      <c r="A5" s="106">
        <v>45068</v>
      </c>
      <c r="B5" s="106">
        <v>45072</v>
      </c>
      <c r="C5">
        <v>4</v>
      </c>
      <c r="D5" s="108">
        <v>0.23263888888888887</v>
      </c>
      <c r="E5" s="108">
        <v>0.2986111111111111</v>
      </c>
      <c r="F5" s="108">
        <v>0.16666666666666666</v>
      </c>
      <c r="G5" s="108">
        <v>0.2986111111111111</v>
      </c>
      <c r="H5" s="108">
        <v>0</v>
      </c>
      <c r="I5" s="107">
        <f t="shared" ref="I5" si="0">SUM(D5:G5)</f>
        <v>0.99652777777777768</v>
      </c>
      <c r="K5" s="109"/>
    </row>
    <row r="6" spans="1:11" x14ac:dyDescent="0.25">
      <c r="A6" s="106">
        <v>45075</v>
      </c>
      <c r="B6" s="106">
        <v>45079</v>
      </c>
      <c r="C6">
        <v>5</v>
      </c>
      <c r="D6" s="108">
        <v>0</v>
      </c>
      <c r="E6" s="108">
        <v>0.2986111111111111</v>
      </c>
      <c r="F6" s="110">
        <v>0.16666666666666666</v>
      </c>
      <c r="G6" s="110">
        <v>0.28125</v>
      </c>
      <c r="H6" s="110">
        <v>0</v>
      </c>
      <c r="I6" s="107">
        <f>E6</f>
        <v>0.2986111111111111</v>
      </c>
      <c r="K6" s="109"/>
    </row>
    <row r="7" spans="1:11" x14ac:dyDescent="0.25">
      <c r="A7" s="106">
        <v>45082</v>
      </c>
      <c r="B7" s="106">
        <v>45086</v>
      </c>
      <c r="C7">
        <v>6</v>
      </c>
      <c r="D7" s="110">
        <v>0.23263888888888887</v>
      </c>
      <c r="E7" s="110">
        <v>0.2986111111111111</v>
      </c>
      <c r="F7" s="110">
        <v>0.16666666666666666</v>
      </c>
      <c r="G7" s="110">
        <v>0.28125</v>
      </c>
      <c r="H7" s="110">
        <v>0</v>
      </c>
      <c r="I7" s="107">
        <f>0</f>
        <v>0</v>
      </c>
      <c r="K7" s="109"/>
    </row>
    <row r="8" spans="1:11" x14ac:dyDescent="0.25">
      <c r="A8" s="106">
        <v>45089</v>
      </c>
      <c r="B8" s="106">
        <v>45093</v>
      </c>
      <c r="C8">
        <v>7</v>
      </c>
      <c r="D8" s="111"/>
      <c r="E8" s="111"/>
      <c r="I8" s="109">
        <v>90.05</v>
      </c>
      <c r="K8" s="109"/>
    </row>
    <row r="9" spans="1:11" x14ac:dyDescent="0.25">
      <c r="A9" s="106"/>
      <c r="I9" s="107"/>
      <c r="K9" s="109"/>
    </row>
    <row r="10" spans="1:11" x14ac:dyDescent="0.25">
      <c r="D10" s="112" t="s">
        <v>90</v>
      </c>
    </row>
    <row r="11" spans="1:11" x14ac:dyDescent="0.25">
      <c r="D11" s="117" t="s">
        <v>91</v>
      </c>
      <c r="E11" s="117"/>
    </row>
    <row r="12" spans="1:11" x14ac:dyDescent="0.25">
      <c r="D12" s="111" t="s">
        <v>92</v>
      </c>
    </row>
    <row r="16" spans="1:11" ht="16.5" x14ac:dyDescent="0.25">
      <c r="A16" s="30"/>
      <c r="B16" s="30" t="s">
        <v>134</v>
      </c>
      <c r="C16" s="30" t="s">
        <v>135</v>
      </c>
      <c r="D16" s="30" t="s">
        <v>134</v>
      </c>
      <c r="E16" s="30" t="s">
        <v>135</v>
      </c>
      <c r="F16" s="30" t="s">
        <v>140</v>
      </c>
      <c r="G16" s="30" t="s">
        <v>141</v>
      </c>
    </row>
    <row r="17" spans="1:7" ht="16.5" x14ac:dyDescent="0.25">
      <c r="A17" s="30" t="s">
        <v>133</v>
      </c>
      <c r="B17" s="30">
        <v>0.75</v>
      </c>
      <c r="C17" s="30">
        <v>0.88541666666666663</v>
      </c>
      <c r="D17" s="115">
        <v>18</v>
      </c>
      <c r="E17" s="115">
        <v>21.25</v>
      </c>
      <c r="F17" s="116">
        <f>D17/$D$22</f>
        <v>0.2109457400679714</v>
      </c>
      <c r="G17" s="116">
        <f>E17/$E$22</f>
        <v>0.24172449095666024</v>
      </c>
    </row>
    <row r="18" spans="1:7" ht="16.5" x14ac:dyDescent="0.25">
      <c r="A18" s="30" t="s">
        <v>136</v>
      </c>
      <c r="B18" s="30">
        <v>0.625</v>
      </c>
      <c r="C18" s="30">
        <v>0.625</v>
      </c>
      <c r="D18" s="115">
        <v>15</v>
      </c>
      <c r="E18" s="115">
        <v>15</v>
      </c>
      <c r="F18" s="116">
        <f t="shared" ref="F18:F21" si="1">D18/$D$22</f>
        <v>0.17578811672330952</v>
      </c>
      <c r="G18" s="116">
        <f t="shared" ref="G18:G21" si="2">E18/$E$22</f>
        <v>0.17062905243999546</v>
      </c>
    </row>
    <row r="19" spans="1:7" ht="16.5" x14ac:dyDescent="0.25">
      <c r="A19" s="30" t="s">
        <v>137</v>
      </c>
      <c r="B19" s="30">
        <v>0.91666666666666663</v>
      </c>
      <c r="C19" s="30">
        <v>0.16666666666666666</v>
      </c>
      <c r="D19" s="115">
        <v>22</v>
      </c>
      <c r="E19" s="115">
        <v>4</v>
      </c>
      <c r="F19" s="116">
        <f t="shared" si="1"/>
        <v>0.25782257119418728</v>
      </c>
      <c r="G19" s="116">
        <f t="shared" si="2"/>
        <v>4.5501080650665458E-2</v>
      </c>
    </row>
    <row r="20" spans="1:7" ht="16.5" x14ac:dyDescent="0.25">
      <c r="A20" s="30" t="s">
        <v>138</v>
      </c>
      <c r="B20" s="30">
        <v>0.70138888888888884</v>
      </c>
      <c r="C20" s="30">
        <v>0.60416666666666663</v>
      </c>
      <c r="D20" s="115">
        <v>16.829999999999998</v>
      </c>
      <c r="E20" s="115">
        <v>14.5</v>
      </c>
      <c r="F20" s="116">
        <f t="shared" si="1"/>
        <v>0.19723426696355326</v>
      </c>
      <c r="G20" s="116">
        <f t="shared" si="2"/>
        <v>0.16494141735866227</v>
      </c>
    </row>
    <row r="21" spans="1:7" ht="16.5" x14ac:dyDescent="0.25">
      <c r="A21" s="30" t="s">
        <v>139</v>
      </c>
      <c r="B21" s="30">
        <v>0.5625</v>
      </c>
      <c r="C21" s="30">
        <v>1.3819444444444444</v>
      </c>
      <c r="D21" s="115">
        <v>13.5</v>
      </c>
      <c r="E21" s="115">
        <v>33.159999999999997</v>
      </c>
      <c r="F21" s="116">
        <f t="shared" si="1"/>
        <v>0.15820930505097855</v>
      </c>
      <c r="G21" s="116">
        <f t="shared" si="2"/>
        <v>0.37720395859401656</v>
      </c>
    </row>
    <row r="22" spans="1:7" ht="16.5" x14ac:dyDescent="0.25">
      <c r="A22" s="30"/>
      <c r="B22" s="30">
        <f>SUM(B17:B21)</f>
        <v>3.5555555555555554</v>
      </c>
      <c r="C22" s="30">
        <f>SUM(C17:C21)</f>
        <v>3.6631944444444446</v>
      </c>
      <c r="D22" s="115">
        <f>SUM(D17:D21)</f>
        <v>85.33</v>
      </c>
      <c r="E22" s="115">
        <f>SUM(E17:E21)</f>
        <v>87.91</v>
      </c>
      <c r="F22" s="115"/>
      <c r="G22" s="115"/>
    </row>
    <row r="23" spans="1:7" ht="16.5" x14ac:dyDescent="0.25">
      <c r="A23" s="30"/>
      <c r="B23" s="30"/>
      <c r="C23" s="30"/>
      <c r="D23" s="30"/>
      <c r="E23" s="30"/>
      <c r="F23" s="115"/>
      <c r="G23" s="115"/>
    </row>
    <row r="24" spans="1:7" ht="16.5" x14ac:dyDescent="0.25">
      <c r="A24" s="30"/>
      <c r="B24" s="30"/>
      <c r="C24" s="30"/>
      <c r="D24" s="30"/>
      <c r="E24" s="30"/>
      <c r="F24" s="115"/>
      <c r="G24" s="115"/>
    </row>
    <row r="25" spans="1:7" ht="16.5" x14ac:dyDescent="0.25">
      <c r="A25" s="30"/>
      <c r="B25" s="30"/>
      <c r="C25" s="30"/>
      <c r="D25" s="30"/>
      <c r="E25" s="30"/>
      <c r="F25" s="115"/>
      <c r="G25" s="115"/>
    </row>
    <row r="26" spans="1:7" ht="16.5" x14ac:dyDescent="0.25">
      <c r="A26" s="30"/>
      <c r="B26" s="30"/>
      <c r="C26" s="30"/>
      <c r="D26" s="115">
        <f>5/6</f>
        <v>0.83333333333333337</v>
      </c>
      <c r="E26" s="30"/>
      <c r="F26" s="115"/>
      <c r="G26" s="115"/>
    </row>
  </sheetData>
  <mergeCells count="1">
    <mergeCell ref="D11:E1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2023-05-31T07:04:44Z</dcterms:modified>
</cp:coreProperties>
</file>