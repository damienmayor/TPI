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55" i="6" l="1"/>
  <c r="B42" i="6" l="1"/>
  <c r="B36" i="6"/>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0"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D2" i="1"/>
  <c r="F2" i="1" s="1"/>
  <c r="B1" i="1"/>
  <c r="C96" i="1"/>
  <c r="C66" i="1"/>
  <c r="C16" i="1" l="1"/>
  <c r="C98" i="1"/>
  <c r="C94" i="1"/>
  <c r="C92" i="1"/>
  <c r="C90" i="1"/>
  <c r="B91" i="6" l="1"/>
  <c r="B90" i="6"/>
  <c r="B89" i="6"/>
  <c r="B87" i="6"/>
  <c r="B86" i="6"/>
  <c r="B84" i="6"/>
  <c r="B83" i="6"/>
  <c r="B81" i="6"/>
  <c r="B80" i="6"/>
  <c r="B78" i="6"/>
  <c r="B77" i="6"/>
  <c r="B75" i="6"/>
  <c r="B74" i="6"/>
  <c r="B72" i="6"/>
  <c r="B71" i="6"/>
  <c r="B70" i="6"/>
  <c r="B69" i="6"/>
  <c r="B68" i="6"/>
  <c r="B66" i="6"/>
  <c r="B65" i="6"/>
  <c r="B63" i="6"/>
  <c r="B62" i="6"/>
  <c r="B60" i="6"/>
  <c r="B58" i="6"/>
  <c r="B57" i="6"/>
  <c r="B54" i="6"/>
  <c r="B52" i="6"/>
  <c r="B51" i="6"/>
  <c r="B49" i="6"/>
  <c r="B48" i="6"/>
  <c r="B46" i="6"/>
  <c r="B45" i="6"/>
  <c r="B43" i="6"/>
  <c r="B41" i="6"/>
  <c r="B39" i="6"/>
  <c r="B38"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67" i="6" l="1"/>
  <c r="B27" i="6"/>
  <c r="B73" i="6"/>
  <c r="B85" i="6"/>
  <c r="B56" i="6"/>
  <c r="B40" i="6"/>
  <c r="B61" i="6"/>
  <c r="B79" i="6"/>
  <c r="B44" i="6"/>
  <c r="B18" i="6"/>
  <c r="B64" i="6"/>
  <c r="B47" i="6"/>
  <c r="B37" i="6"/>
  <c r="B53" i="6"/>
  <c r="B22" i="6"/>
  <c r="P77" i="1" s="1"/>
  <c r="B59" i="6"/>
  <c r="B82" i="6"/>
  <c r="B88" i="6"/>
  <c r="B76"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<sst xmlns="http://schemas.openxmlformats.org/spreadsheetml/2006/main" count="196" uniqueCount="123">
  <si>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</si>
  <si>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</si>
  <si>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</si>
  <si>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</si>
  <si>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</si>
  <si>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</si>
  <si>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</si>
  <si>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</si>
  <si>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</si>
  <si>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</si>
  <si>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</si>
  <si>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</si>
  <si>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</si>
  <si>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</si>
  <si>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</si>
  <si>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</si>
  <si>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</si>
  <si>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</si>
  <si>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</si>
  <si>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</si>
  <si>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</si>
  <si>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</si>
  <si>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</si>
  <si>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</si>
  <si>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</si>
  <si>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</si>
  <si>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</si>
  <si>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</si>
  <si>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</si>
  <si>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</si>
  <si>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</si>
  <si>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</si>
  <si>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</si>
  <si>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</si>
  <si>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</si>
  <si>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</si>
  <si>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</si>
  <si>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</si>
  <si>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</si>
  <si>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</si>
  <si>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</si>
  <si>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</si>
  <si>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</si>
  <si>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</si>
  <si>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</si>
  <si>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</si>
  <si>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</si>
  <si>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</si>
  <si>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</si>
  <si>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</si>
  <si>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</si>
  <si>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</si>
  <si>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</si>
  <si>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</si>
  <si>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</si>
  <si>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</si>
  <si>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</si>
  <si>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</si>
  <si>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</si>
  <si>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</si>
  <si>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</si>
  <si>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</si>
  <si>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</si>
  <si>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</si>
  <si>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</si>
  <si>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</si>
  <si>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</si>
  <si>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</si>
  <si>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</si>
  <si>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</si>
  <si>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</si>
  <si>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</si>
  <si>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</si>
  <si>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</si>
  <si>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</si>
  <si>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</si>
  <si>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</si>
  <si>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</si>
  <si>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</si>
  <si>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</si>
  <si>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</si>
  <si>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</si>
  <si>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</si>
  <si>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</si>
  <si>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</si>
  <si>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</si>
  <si>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</si>
  <si>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</si>
  <si>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</si>
  <si>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</si>
  <si>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</si>
  <si>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</si>
  <si>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</si>
  <si>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</si>
  <si>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</si>
  <si>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</si>
  <si>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</si>
  <si>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</si>
  <si>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</si>
  <si>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</si>
  <si>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</si>
  <si>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</si>
  <si>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</si>
  <si>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</si>
  <si>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</si>
  <si>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</si>
  <si>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</si>
  <si>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</si>
  <si>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</si>
  <si>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</si>
  <si>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</si>
  <si>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</si>
  <si>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</si>
  <si>
    <t>Absence décès, compensation le 26.05.2023</t>
  </si>
  <si>
    <t>Recherches Spanning Tree Protocol</t>
  </si>
  <si>
    <t>Recherches réseau du CPNV</t>
  </si>
  <si>
    <t>Amenagement du poste de travail du télétravailleur</t>
  </si>
  <si>
    <t>Téléchargement et installation FortiClientVPN</t>
  </si>
  <si>
    <t>Succès</t>
  </si>
  <si>
    <t>Ne fontionnait pas, ai essayé plusieurs correction et au final c'est la consultation des log vpn du fortigate qui indique un problème de phase 2. Donc mes protocoles d'authentification et d'encryption ne correspondent pas entre la configuration du client et celle du pare-feu. Après correction, le client se connecte.</t>
  </si>
  <si>
    <t>Mise au propres de différents éléments qui rejoindront la présentation: table de routage, plan réseau, tests.  Arrivant au bout du projet, je vais commencer à mettre les différentes pièces dans le document final.</t>
  </si>
  <si>
    <t>Test de fonctionnement du site2site, client2site, divers pings et tracerts</t>
  </si>
  <si>
    <t>Screenshots et logs de toute la partie phase 1 et retranscription au format numérique des notes manuelles.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</si>
</sst>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7">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14" fontId="18" fillId="11" borderId="24" xfId="0" applyNumberFormat="1" applyFont="1" applyFill="1" applyBorder="1" applyAlignment="1" applyProtection="1">
      <alignment horizontal="center"/>
      <protection locked="0"/>
    </xf>
    <xf numFmtId="0" fontId="17" fillId="11" borderId="24" xfId="0" applyNumberFormat="1" applyFont="1" applyFill="1" applyBorder="1" applyAlignment="1" applyProtection="1">
      <alignment horizontal="center"/>
    </xf>
    <xf numFmtId="0" fontId="17" fillId="11" borderId="24" xfId="0" applyFont="1" applyFill="1" applyBorder="1" applyAlignment="1" applyProtection="1">
      <alignment horizontal="center"/>
      <protection locked="0"/>
    </xf>
    <xf numFmtId="165" fontId="18" fillId="11" borderId="24" xfId="0" applyNumberFormat="1" applyFont="1" applyFill="1" applyBorder="1" applyAlignment="1" applyProtection="1">
      <alignment horizontal="center"/>
      <protection locked="0"/>
    </xf>
    <xf numFmtId="0" fontId="18" fillId="11" borderId="24" xfId="0" applyFont="1" applyFill="1" applyBorder="1" applyAlignment="1" applyProtection="1">
      <alignment horizontal="left" wrapText="1"/>
      <protection locked="0"/>
    </xf>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zoomScale="70" zoomScaleNormal="70" zoomScalePageLayoutView="70" workbookViewId="0">
      <selection activeCell="V24" sqref="V24"/>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2.90625</v>
      </c>
      <c r="C4" s="31"/>
      <c r="D4" s="4">
        <f>SUMIF($C$8:$C$10002,$C9,D$8:D$10002)</f>
        <v>0.68402777777777779</v>
      </c>
      <c r="E4" s="2"/>
      <c r="F4" s="4">
        <f>SUMIF($C$8:$C$10002,$C9,F$8:F$10002)</f>
        <v>0.99305555555555558</v>
      </c>
      <c r="G4" s="3"/>
      <c r="H4" s="4">
        <f>SUMIF($C$8:$C$10002,$C9,H$8:H$10002)</f>
        <v>0.53125</v>
      </c>
      <c r="I4" s="3"/>
      <c r="J4" s="4">
        <f>SUMIF($C$8:$C$10002,$C9,J$8:J$10002)</f>
        <v>0.69791666666666663</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0.88541666666666663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SUMIFS(Journal!$D$6:$D$9995,Journal!$B$6:$B$9995,D$5,Journal!$C$6:$C$9995,$B8)</f>
        <v>0.17361111111111113</v>
      </c>
      <c r="E9" s="60"/>
      <c r="F9" s="59">
        <f>SUMIFS(Journal!$D$6:$D$9995,Journal!$B$6:$B$9995,F$5,Journal!$C$6:$C$9995,$B8)</f>
        <v>2.4305555555555556E-2</v>
      </c>
      <c r="G9" s="60"/>
      <c r="H9" s="59">
        <f>SUMIFS(Journal!$D$6:$D$9995,Journal!$B$6:$B$9995,H$5,Journal!$C$6:$C$9995,$B8)</f>
        <v>0</v>
      </c>
      <c r="I9" s="61"/>
      <c r="J9" s="59">
        <f>SUMIFS(Journal!$D$6:$D$9995,Journal!$B$6:$B$9995,J$5,Journal!$C$6:$C$9995,$B8)</f>
        <v>0</v>
      </c>
      <c r="K9" s="61"/>
      <c r="L9" s="59">
        <f>SUMIFS(Journal!$D$6:$D$9995,Journal!$B$6:$B$9995,L$5,Journal!$C$6:$C$9995,$B8)</f>
        <v>0</v>
      </c>
      <c r="M9" s="60"/>
      <c r="N9" s="59">
        <f>SUMIFS(Journal!$D$6:$D$9995,Journal!$B$6:$B$9995,N$5,Journal!$C$6:$C$9995,$B8)</f>
        <v>0</v>
      </c>
      <c r="O9" s="60"/>
      <c r="P9" s="59">
        <f>SUMIFS(Journal!$D$6:$D$9995,Journal!$B$6:$B$9995,P$5,Journal!$C$6:$C$9995,$B8)</f>
        <v>0</v>
      </c>
      <c r="Q9" s="60"/>
      <c r="R9" s="62">
        <f t="shared" si="0"/>
        <v>0.19791666666666669</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SUMIFS(Journal!$D$6:$D$9995,Journal!$B$6:$B$9995,D$5,Journal!$C$6:$C$9995,$B10)</f>
        <v>0.22916666666666666</v>
      </c>
      <c r="E11" s="60"/>
      <c r="F11" s="59">
        <f>SUMIFS(Journal!$D$6:$D$9995,Journal!$B$6:$B$9995,F$5,Journal!$C$6:$C$9995,$B10)</f>
        <v>8.3333333333333329E-2</v>
      </c>
      <c r="G11" s="60"/>
      <c r="H11" s="59">
        <f>SUMIFS(Journal!$D$6:$D$9995,Journal!$B$6:$B$9995,H$5,Journal!$C$6:$C$9995,$B10)</f>
        <v>8.3333333333333329E-2</v>
      </c>
      <c r="I11" s="61"/>
      <c r="J11" s="59">
        <f>SUMIFS(Journal!$D$6:$D$9995,Journal!$B$6:$B$9995,J$5,Journal!$C$6:$C$9995,$B10)</f>
        <v>8.3333333333333329E-2</v>
      </c>
      <c r="K11" s="61"/>
      <c r="L11" s="59">
        <f>SUMIFS(Journal!$D$6:$D$9995,Journal!$B$6:$B$9995,L$5,Journal!$C$6:$C$9995,$B10)</f>
        <v>0</v>
      </c>
      <c r="M11" s="60"/>
      <c r="N11" s="59">
        <f>SUMIFS(Journal!$D$6:$D$9995,Journal!$B$6:$B$9995,N$5,Journal!$C$6:$C$9995,$B10)</f>
        <v>0</v>
      </c>
      <c r="O11" s="60"/>
      <c r="P11" s="59">
        <f>SUMIFS(Journal!$D$6:$D$9995,Journal!$B$6:$B$9995,P$5,Journal!$C$6:$C$9995,$B10)</f>
        <v>0</v>
      </c>
      <c r="Q11" s="60"/>
      <c r="R11" s="62">
        <f t="shared" si="0"/>
        <v>0.47916666666666663</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SUMIFS(Journal!$D$6:$D$9995,Journal!$B$6:$B$9995,D$5,Journal!$C$6:$C$9995,$B12)</f>
        <v>0</v>
      </c>
      <c r="E13" s="60"/>
      <c r="F13" s="59">
        <f>SUMIFS(Journal!$D$6:$D$9995,Journal!$B$6:$B$9995,F$5,Journal!$C$6:$C$9995,$B12)</f>
        <v>0</v>
      </c>
      <c r="G13" s="60"/>
      <c r="H13" s="59">
        <f>SUMIFS(Journal!$D$6:$D$9995,Journal!$B$6:$B$9995,H$5,Journal!$C$6:$C$9995,$B12)</f>
        <v>4.1666666666666664E-2</v>
      </c>
      <c r="I13" s="61"/>
      <c r="J13" s="59">
        <f>SUMIFS(Journal!$D$6:$D$9995,Journal!$B$6:$B$9995,J$5,Journal!$C$6:$C$9995,$B12)</f>
        <v>0</v>
      </c>
      <c r="K13" s="61"/>
      <c r="L13" s="59">
        <f>SUMIFS(Journal!$D$6:$D$9995,Journal!$B$6:$B$9995,L$5,Journal!$C$6:$C$9995,$B12)</f>
        <v>0</v>
      </c>
      <c r="M13" s="60"/>
      <c r="N13" s="59">
        <f>SUMIFS(Journal!$D$6:$D$9995,Journal!$B$6:$B$9995,N$5,Journal!$C$6:$C$9995,$B12)</f>
        <v>0</v>
      </c>
      <c r="O13" s="60"/>
      <c r="P13" s="59">
        <f>SUMIFS(Journal!$D$6:$D$9995,Journal!$B$6:$B$9995,P$5,Journal!$C$6:$C$9995,$B12)</f>
        <v>0</v>
      </c>
      <c r="Q13" s="60"/>
      <c r="R13" s="62">
        <f t="shared" si="0"/>
        <v>4.1666666666666664E-2</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SUMIFS(Journal!$D$6:$D$9995,Journal!$B$6:$B$9995,D$5,Journal!$C$6:$C$9995,$B14)</f>
        <v>6.25E-2</v>
      </c>
      <c r="E15" s="60"/>
      <c r="F15" s="59">
        <f>SUMIFS(Journal!$D$6:$D$9995,Journal!$B$6:$B$9995,F$5,Journal!$C$6:$C$9995,$B14)</f>
        <v>2.0833333333333332E-2</v>
      </c>
      <c r="G15" s="60"/>
      <c r="H15" s="59">
        <f>SUMIFS(Journal!$D$6:$D$9995,Journal!$B$6:$B$9995,H$5,Journal!$C$6:$C$9995,$B14)</f>
        <v>0</v>
      </c>
      <c r="I15" s="61"/>
      <c r="J15" s="59">
        <f>SUMIFS(Journal!$D$6:$D$9995,Journal!$B$6:$B$9995,J$5,Journal!$C$6:$C$9995,$B14)</f>
        <v>0</v>
      </c>
      <c r="K15" s="61"/>
      <c r="L15" s="59">
        <f>SUMIFS(Journal!$D$6:$D$9995,Journal!$B$6:$B$9995,L$5,Journal!$C$6:$C$9995,$B14)</f>
        <v>0</v>
      </c>
      <c r="M15" s="60"/>
      <c r="N15" s="59">
        <f>SUMIFS(Journal!$D$6:$D$9995,Journal!$B$6:$B$9995,N$5,Journal!$C$6:$C$9995,$B14)</f>
        <v>0</v>
      </c>
      <c r="O15" s="60"/>
      <c r="P15" s="59">
        <f>SUMIFS(Journal!$D$6:$D$9995,Journal!$B$6:$B$9995,P$5,Journal!$C$6:$C$9995,$B14)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SUMIFS(Journal!$D$6:$D$9995,Journal!$B$6:$B$9995,D$5,Journal!$C$6:$C$9995,$B16)</f>
        <v>0</v>
      </c>
      <c r="E17" s="60"/>
      <c r="F17" s="59">
        <f>SUMIFS(Journal!$D$6:$D$9995,Journal!$B$6:$B$9995,F$5,Journal!$C$6:$C$9995,$B16)</f>
        <v>8.3333333333333329E-2</v>
      </c>
      <c r="G17" s="60"/>
      <c r="H17" s="59">
        <f>SUMIFS(Journal!$D$6:$D$9995,Journal!$B$6:$B$9995,H$5,Journal!$C$6:$C$9995,$B16)</f>
        <v>0</v>
      </c>
      <c r="I17" s="61"/>
      <c r="J17" s="59">
        <f>SUMIFS(Journal!$D$6:$D$9995,Journal!$B$6:$B$9995,J$5,Journal!$C$6:$C$9995,$B16)</f>
        <v>0</v>
      </c>
      <c r="K17" s="61"/>
      <c r="L17" s="59">
        <f>SUMIFS(Journal!$D$6:$D$9995,Journal!$B$6:$B$9995,L$5,Journal!$C$6:$C$9995,$B16)</f>
        <v>0</v>
      </c>
      <c r="M17" s="60"/>
      <c r="N17" s="59">
        <f>SUMIFS(Journal!$D$6:$D$9995,Journal!$B$6:$B$9995,N$5,Journal!$C$6:$C$9995,$B16)</f>
        <v>0</v>
      </c>
      <c r="O17" s="60"/>
      <c r="P17" s="59">
        <f>SUMIFS(Journal!$D$6:$D$9995,Journal!$B$6:$B$9995,P$5,Journal!$C$6:$C$9995,$B16)</f>
        <v>0</v>
      </c>
      <c r="Q17" s="60"/>
      <c r="R17" s="62">
        <f t="shared" si="0"/>
        <v>8.3333333333333329E-2</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0.62499999999999989</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SUMIFS(Journal!$D$6:$D$9995,Journal!$B$6:$B$9995,D$5,Journal!$C$6:$C$9995,$B20)</f>
        <v>0</v>
      </c>
      <c r="E21" s="60"/>
      <c r="F21" s="59">
        <f>SUMIFS(Journal!$D$6:$D$9995,Journal!$B$6:$B$9995,F$5,Journal!$C$6:$C$9995,$B20)</f>
        <v>8.3333333333333329E-2</v>
      </c>
      <c r="G21" s="60"/>
      <c r="H21" s="59">
        <f>SUMIFS(Journal!$D$6:$D$9995,Journal!$B$6:$B$9995,H$5,Journal!$C$6:$C$9995,$B20)</f>
        <v>0</v>
      </c>
      <c r="I21" s="61"/>
      <c r="J21" s="59">
        <f>SUMIFS(Journal!$D$6:$D$9995,Journal!$B$6:$B$9995,J$5,Journal!$C$6:$C$9995,$B20)</f>
        <v>0</v>
      </c>
      <c r="K21" s="61"/>
      <c r="L21" s="59">
        <f>SUMIFS(Journal!$D$6:$D$9995,Journal!$B$6:$B$9995,L$5,Journal!$C$6:$C$9995,$B20)</f>
        <v>0</v>
      </c>
      <c r="M21" s="60"/>
      <c r="N21" s="59">
        <f>SUMIFS(Journal!$D$6:$D$9995,Journal!$B$6:$B$9995,N$5,Journal!$C$6:$C$9995,$B20)</f>
        <v>0</v>
      </c>
      <c r="O21" s="60"/>
      <c r="P21" s="59">
        <f>SUMIFS(Journal!$D$6:$D$9995,Journal!$B$6:$B$9995,P$5,Journal!$C$6:$C$9995,$B20)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SUMIFS(Journal!$D$6:$D$9995,Journal!$B$6:$B$9995,D$5,Journal!$C$6:$C$9995,$B22)</f>
        <v>0</v>
      </c>
      <c r="E23" s="60"/>
      <c r="F23" s="59">
        <f>SUMIFS(Journal!$D$6:$D$9995,Journal!$B$6:$B$9995,F$5,Journal!$C$6:$C$9995,$B22)</f>
        <v>4.1666666666666664E-2</v>
      </c>
      <c r="G23" s="60"/>
      <c r="H23" s="59">
        <f>SUMIFS(Journal!$D$6:$D$9995,Journal!$B$6:$B$9995,H$5,Journal!$C$6:$C$9995,$B22)</f>
        <v>0</v>
      </c>
      <c r="I23" s="61"/>
      <c r="J23" s="59">
        <f>SUMIFS(Journal!$D$6:$D$9995,Journal!$B$6:$B$9995,J$5,Journal!$C$6:$C$9995,$B22)</f>
        <v>0</v>
      </c>
      <c r="K23" s="61"/>
      <c r="L23" s="59">
        <f>SUMIFS(Journal!$D$6:$D$9995,Journal!$B$6:$B$9995,L$5,Journal!$C$6:$C$9995,$B22)</f>
        <v>0</v>
      </c>
      <c r="M23" s="60"/>
      <c r="N23" s="59">
        <f>SUMIFS(Journal!$D$6:$D$9995,Journal!$B$6:$B$9995,N$5,Journal!$C$6:$C$9995,$B22)</f>
        <v>0</v>
      </c>
      <c r="O23" s="60"/>
      <c r="P23" s="59">
        <f>SUMIFS(Journal!$D$6:$D$9995,Journal!$B$6:$B$9995,P$5,Journal!$C$6:$C$9995,$B22)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SUMIFS(Journal!$D$6:$D$9995,Journal!$B$6:$B$9995,D$5,Journal!$C$6:$C$9995,$B24)</f>
        <v>0</v>
      </c>
      <c r="E25" s="60"/>
      <c r="F25" s="59">
        <f>SUMIFS(Journal!$D$6:$D$9995,Journal!$B$6:$B$9995,F$5,Journal!$C$6:$C$9995,$B24)</f>
        <v>8.3333333333333329E-2</v>
      </c>
      <c r="G25" s="60"/>
      <c r="H25" s="59">
        <f>SUMIFS(Journal!$D$6:$D$9995,Journal!$B$6:$B$9995,H$5,Journal!$C$6:$C$9995,$B24)</f>
        <v>0</v>
      </c>
      <c r="I25" s="61"/>
      <c r="J25" s="59">
        <f>SUMIFS(Journal!$D$6:$D$9995,Journal!$B$6:$B$9995,J$5,Journal!$C$6:$C$9995,$B24)</f>
        <v>0</v>
      </c>
      <c r="K25" s="61"/>
      <c r="L25" s="59">
        <f>SUMIFS(Journal!$D$6:$D$9995,Journal!$B$6:$B$9995,L$5,Journal!$C$6:$C$9995,$B24)</f>
        <v>0</v>
      </c>
      <c r="M25" s="60"/>
      <c r="N25" s="59">
        <f>SUMIFS(Journal!$D$6:$D$9995,Journal!$B$6:$B$9995,N$5,Journal!$C$6:$C$9995,$B24)</f>
        <v>0</v>
      </c>
      <c r="O25" s="60"/>
      <c r="P25" s="59">
        <f>SUMIFS(Journal!$D$6:$D$9995,Journal!$B$6:$B$9995,P$5,Journal!$C$6:$C$9995,$B24)</f>
        <v>0</v>
      </c>
      <c r="Q25" s="60"/>
      <c r="R25" s="62">
        <f t="shared" ref="R25" si="8">IF(SUM(D25:Q25)=0,"",SUM(D25:Q25))</f>
        <v>8.3333333333333329E-2</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SUMIFS(Journal!$D$6:$D$9995,Journal!$B$6:$B$9995,D$5,Journal!$C$6:$C$9995,$B26)</f>
        <v>0</v>
      </c>
      <c r="E27" s="60"/>
      <c r="F27" s="59">
        <f>SUMIFS(Journal!$D$6:$D$9995,Journal!$B$6:$B$9995,F$5,Journal!$C$6:$C$9995,$B26)</f>
        <v>8.3333333333333329E-2</v>
      </c>
      <c r="G27" s="60"/>
      <c r="H27" s="59">
        <f>SUMIFS(Journal!$D$6:$D$9995,Journal!$B$6:$B$9995,H$5,Journal!$C$6:$C$9995,$B26)</f>
        <v>0</v>
      </c>
      <c r="I27" s="61"/>
      <c r="J27" s="59">
        <f>SUMIFS(Journal!$D$6:$D$9995,Journal!$B$6:$B$9995,J$5,Journal!$C$6:$C$9995,$B26)</f>
        <v>0</v>
      </c>
      <c r="K27" s="61"/>
      <c r="L27" s="59">
        <f>SUMIFS(Journal!$D$6:$D$9995,Journal!$B$6:$B$9995,L$5,Journal!$C$6:$C$9995,$B26)</f>
        <v>0</v>
      </c>
      <c r="M27" s="60"/>
      <c r="N27" s="59">
        <f>SUMIFS(Journal!$D$6:$D$9995,Journal!$B$6:$B$9995,N$5,Journal!$C$6:$C$9995,$B26)</f>
        <v>0</v>
      </c>
      <c r="O27" s="60"/>
      <c r="P27" s="59">
        <f>SUMIFS(Journal!$D$6:$D$9995,Journal!$B$6:$B$9995,P$5,Journal!$C$6:$C$9995,$B26)</f>
        <v>0</v>
      </c>
      <c r="Q27" s="60"/>
      <c r="R27" s="62">
        <f t="shared" ref="R27" si="12">IF(SUM(D27:Q27)=0,"",SUM(D27:Q27))</f>
        <v>8.3333333333333329E-2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SUMIFS(Journal!$D$6:$D$9995,Journal!$B$6:$B$9995,D$5,Journal!$C$6:$C$9995,$B28)</f>
        <v>0</v>
      </c>
      <c r="E29" s="60"/>
      <c r="F29" s="59">
        <f>SUMIFS(Journal!$D$6:$D$9995,Journal!$B$6:$B$9995,F$5,Journal!$C$6:$C$9995,$B28)</f>
        <v>4.1666666666666664E-2</v>
      </c>
      <c r="G29" s="60"/>
      <c r="H29" s="59">
        <f>SUMIFS(Journal!$D$6:$D$9995,Journal!$B$6:$B$9995,H$5,Journal!$C$6:$C$9995,$B28)</f>
        <v>0</v>
      </c>
      <c r="I29" s="61"/>
      <c r="J29" s="59">
        <f>SUMIFS(Journal!$D$6:$D$9995,Journal!$B$6:$B$9995,J$5,Journal!$C$6:$C$9995,$B28)</f>
        <v>0</v>
      </c>
      <c r="K29" s="61"/>
      <c r="L29" s="59">
        <f>SUMIFS(Journal!$D$6:$D$9995,Journal!$B$6:$B$9995,L$5,Journal!$C$6:$C$9995,$B28)</f>
        <v>0</v>
      </c>
      <c r="M29" s="60"/>
      <c r="N29" s="59">
        <f>SUMIFS(Journal!$D$6:$D$9995,Journal!$B$6:$B$9995,N$5,Journal!$C$6:$C$9995,$B28)</f>
        <v>0</v>
      </c>
      <c r="O29" s="60"/>
      <c r="P29" s="59">
        <f>SUMIFS(Journal!$D$6:$D$9995,Journal!$B$6:$B$9995,P$5,Journal!$C$6:$C$9995,$B28)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SUMIFS(Journal!$D$6:$D$9995,Journal!$B$6:$B$9995,D$5,Journal!$C$6:$C$9995,$B30)</f>
        <v>0</v>
      </c>
      <c r="E31" s="60"/>
      <c r="F31" s="59">
        <f>SUMIFS(Journal!$D$6:$D$9995,Journal!$B$6:$B$9995,F$5,Journal!$C$6:$C$9995,$B30)</f>
        <v>4.1666666666666664E-2</v>
      </c>
      <c r="G31" s="60"/>
      <c r="H31" s="59">
        <f>SUMIFS(Journal!$D$6:$D$9995,Journal!$B$6:$B$9995,H$5,Journal!$C$6:$C$9995,$B30)</f>
        <v>0</v>
      </c>
      <c r="I31" s="61"/>
      <c r="J31" s="59">
        <f>SUMIFS(Journal!$D$6:$D$9995,Journal!$B$6:$B$9995,J$5,Journal!$C$6:$C$9995,$B30)</f>
        <v>0</v>
      </c>
      <c r="K31" s="61"/>
      <c r="L31" s="59">
        <f>SUMIFS(Journal!$D$6:$D$9995,Journal!$B$6:$B$9995,L$5,Journal!$C$6:$C$9995,$B30)</f>
        <v>0</v>
      </c>
      <c r="M31" s="60"/>
      <c r="N31" s="59">
        <f>SUMIFS(Journal!$D$6:$D$9995,Journal!$B$6:$B$9995,N$5,Journal!$C$6:$C$9995,$B30)</f>
        <v>0</v>
      </c>
      <c r="O31" s="60"/>
      <c r="P31" s="59">
        <f>SUMIFS(Journal!$D$6:$D$9995,Journal!$B$6:$B$9995,P$5,Journal!$C$6:$C$9995,$B30)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SUMIFS(Journal!$D$6:$D$9995,Journal!$B$6:$B$9995,D$5,Journal!$C$6:$C$9995,$B32)</f>
        <v>0</v>
      </c>
      <c r="E33" s="60"/>
      <c r="F33" s="59">
        <f>SUMIFS(Journal!$D$6:$D$9995,Journal!$B$6:$B$9995,F$5,Journal!$C$6:$C$9995,$B32)</f>
        <v>8.3333333333333329E-2</v>
      </c>
      <c r="G33" s="60"/>
      <c r="H33" s="59">
        <f>SUMIFS(Journal!$D$6:$D$9995,Journal!$B$6:$B$9995,H$5,Journal!$C$6:$C$9995,$B32)</f>
        <v>0</v>
      </c>
      <c r="I33" s="61"/>
      <c r="J33" s="59">
        <f>SUMIFS(Journal!$D$6:$D$9995,Journal!$B$6:$B$9995,J$5,Journal!$C$6:$C$9995,$B32)</f>
        <v>0</v>
      </c>
      <c r="K33" s="61"/>
      <c r="L33" s="59">
        <f>SUMIFS(Journal!$D$6:$D$9995,Journal!$B$6:$B$9995,L$5,Journal!$C$6:$C$9995,$B32)</f>
        <v>0</v>
      </c>
      <c r="M33" s="60"/>
      <c r="N33" s="59">
        <f>SUMIFS(Journal!$D$6:$D$9995,Journal!$B$6:$B$9995,N$5,Journal!$C$6:$C$9995,$B32)</f>
        <v>0</v>
      </c>
      <c r="O33" s="60"/>
      <c r="P33" s="59">
        <f>SUMIFS(Journal!$D$6:$D$9995,Journal!$B$6:$B$9995,P$5,Journal!$C$6:$C$9995,$B32)</f>
        <v>0</v>
      </c>
      <c r="Q33" s="60"/>
      <c r="R33" s="62">
        <f t="shared" ref="R33" si="24">IF(SUM(D33:Q33)=0,"",SUM(D33:Q33))</f>
        <v>8.3333333333333329E-2</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SUMIFS(Journal!$D$6:$D$9995,Journal!$B$6:$B$9995,D$5,Journal!$C$6:$C$9995,$B34)</f>
        <v>0</v>
      </c>
      <c r="E35" s="60"/>
      <c r="F35" s="59">
        <f>SUMIFS(Journal!$D$6:$D$9995,Journal!$B$6:$B$9995,F$5,Journal!$C$6:$C$9995,$B34)</f>
        <v>4.1666666666666664E-2</v>
      </c>
      <c r="G35" s="60"/>
      <c r="H35" s="59">
        <f>SUMIFS(Journal!$D$6:$D$9995,Journal!$B$6:$B$9995,H$5,Journal!$C$6:$C$9995,$B34)</f>
        <v>0</v>
      </c>
      <c r="I35" s="61"/>
      <c r="J35" s="59">
        <f>SUMIFS(Journal!$D$6:$D$9995,Journal!$B$6:$B$9995,J$5,Journal!$C$6:$C$9995,$B34)</f>
        <v>0</v>
      </c>
      <c r="K35" s="61"/>
      <c r="L35" s="59">
        <f>SUMIFS(Journal!$D$6:$D$9995,Journal!$B$6:$B$9995,L$5,Journal!$C$6:$C$9995,$B34)</f>
        <v>0</v>
      </c>
      <c r="M35" s="60"/>
      <c r="N35" s="59">
        <f>SUMIFS(Journal!$D$6:$D$9995,Journal!$B$6:$B$9995,N$5,Journal!$C$6:$C$9995,$B34)</f>
        <v>0</v>
      </c>
      <c r="O35" s="60"/>
      <c r="P35" s="59">
        <f>SUMIFS(Journal!$D$6:$D$9995,Journal!$B$6:$B$9995,P$5,Journal!$C$6:$C$9995,$B34)</f>
        <v>0</v>
      </c>
      <c r="Q35" s="60"/>
      <c r="R35" s="62">
        <f t="shared" ref="R35" si="28">IF(SUM(D35:Q35)=0,"",SUM(D35:Q35))</f>
        <v>4.1666666666666664E-2</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SUMIFS(Journal!$D$6:$D$9995,Journal!$B$6:$B$9995,D$5,Journal!$C$6:$C$9995,$B36)</f>
        <v>0</v>
      </c>
      <c r="E37" s="60"/>
      <c r="F37" s="59">
        <f>SUMIFS(Journal!$D$6:$D$9995,Journal!$B$6:$B$9995,F$5,Journal!$C$6:$C$9995,$B36)</f>
        <v>0</v>
      </c>
      <c r="G37" s="60"/>
      <c r="H37" s="59">
        <f>SUMIFS(Journal!$D$6:$D$9995,Journal!$B$6:$B$9995,H$5,Journal!$C$6:$C$9995,$B36)</f>
        <v>4.1666666666666664E-2</v>
      </c>
      <c r="I37" s="61"/>
      <c r="J37" s="59">
        <f>SUMIFS(Journal!$D$6:$D$9995,Journal!$B$6:$B$9995,J$5,Journal!$C$6:$C$9995,$B36)</f>
        <v>0</v>
      </c>
      <c r="K37" s="61"/>
      <c r="L37" s="59">
        <f>SUMIFS(Journal!$D$6:$D$9995,Journal!$B$6:$B$9995,L$5,Journal!$C$6:$C$9995,$B36)</f>
        <v>0</v>
      </c>
      <c r="M37" s="60"/>
      <c r="N37" s="59">
        <f>SUMIFS(Journal!$D$6:$D$9995,Journal!$B$6:$B$9995,N$5,Journal!$C$6:$C$9995,$B36)</f>
        <v>0</v>
      </c>
      <c r="O37" s="60"/>
      <c r="P37" s="59">
        <f>SUMIFS(Journal!$D$6:$D$9995,Journal!$B$6:$B$9995,P$5,Journal!$C$6:$C$9995,$B36)</f>
        <v>0</v>
      </c>
      <c r="Q37" s="60"/>
      <c r="R37" s="62">
        <f t="shared" ref="R37" si="32">IF(SUM(D37:Q37)=0,"",SUM(D37:Q37))</f>
        <v>4.1666666666666664E-2</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SUMIFS(Journal!$D$6:$D$9995,Journal!$B$6:$B$9995,D$5,Journal!$C$6:$C$9995,$B38)</f>
        <v>0</v>
      </c>
      <c r="E39" s="60"/>
      <c r="F39" s="59">
        <f>SUMIFS(Journal!$D$6:$D$9995,Journal!$B$6:$B$9995,F$5,Journal!$C$6:$C$9995,$B38)</f>
        <v>0</v>
      </c>
      <c r="G39" s="60"/>
      <c r="H39" s="59">
        <f>SUMIFS(Journal!$D$6:$D$9995,Journal!$B$6:$B$9995,H$5,Journal!$C$6:$C$9995,$B38)</f>
        <v>0</v>
      </c>
      <c r="I39" s="61"/>
      <c r="J39" s="59">
        <f>SUMIFS(Journal!$D$6:$D$9995,Journal!$B$6:$B$9995,J$5,Journal!$C$6:$C$9995,$B38)</f>
        <v>4.1666666666666664E-2</v>
      </c>
      <c r="K39" s="61"/>
      <c r="L39" s="59">
        <f>SUMIFS(Journal!$D$6:$D$9995,Journal!$B$6:$B$9995,L$5,Journal!$C$6:$C$9995,$B38)</f>
        <v>0</v>
      </c>
      <c r="M39" s="60"/>
      <c r="N39" s="59">
        <f>SUMIFS(Journal!$D$6:$D$9995,Journal!$B$6:$B$9995,N$5,Journal!$C$6:$C$9995,$B38)</f>
        <v>0</v>
      </c>
      <c r="O39" s="60"/>
      <c r="P39" s="59">
        <f>SUMIFS(Journal!$D$6:$D$9995,Journal!$B$6:$B$9995,P$5,Journal!$C$6:$C$9995,$B38)</f>
        <v>0</v>
      </c>
      <c r="Q39" s="60"/>
      <c r="R39" s="62">
        <f t="shared" ref="R39" si="36">IF(SUM(D39:Q39)=0,"",SUM(D39:Q39))</f>
        <v>4.1666666666666664E-2</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SUMIFS(Journal!$D$6:$D$9995,Journal!$B$6:$B$9995,D$5,Journal!$C$6:$C$9995,$B40)</f>
        <v>0</v>
      </c>
      <c r="E41" s="60"/>
      <c r="F41" s="59">
        <f>SUMIFS(Journal!$D$6:$D$9995,Journal!$B$6:$B$9995,F$5,Journal!$C$6:$C$9995,$B40)</f>
        <v>0</v>
      </c>
      <c r="G41" s="60"/>
      <c r="H41" s="59">
        <f>SUMIFS(Journal!$D$6:$D$9995,Journal!$B$6:$B$9995,H$5,Journal!$C$6:$C$9995,$B40)</f>
        <v>0</v>
      </c>
      <c r="I41" s="61"/>
      <c r="J41" s="59">
        <f>SUMIFS(Journal!$D$6:$D$9995,Journal!$B$6:$B$9995,J$5,Journal!$C$6:$C$9995,$B40)</f>
        <v>4.1666666666666664E-2</v>
      </c>
      <c r="K41" s="61"/>
      <c r="L41" s="59">
        <f>SUMIFS(Journal!$D$6:$D$9995,Journal!$B$6:$B$9995,L$5,Journal!$C$6:$C$9995,$B40)</f>
        <v>0</v>
      </c>
      <c r="M41" s="60"/>
      <c r="N41" s="59">
        <f>SUMIFS(Journal!$D$6:$D$9995,Journal!$B$6:$B$9995,N$5,Journal!$C$6:$C$9995,$B40)</f>
        <v>0</v>
      </c>
      <c r="O41" s="60"/>
      <c r="P41" s="59">
        <f>SUMIFS(Journal!$D$6:$D$9995,Journal!$B$6:$B$9995,P$5,Journal!$C$6:$C$9995,$B40)</f>
        <v>0</v>
      </c>
      <c r="Q41" s="60"/>
      <c r="R41" s="62">
        <f t="shared" ref="R41" si="40">IF(SUM(D41:Q41)=0,"",SUM(D41:Q41))</f>
        <v>4.1666666666666664E-2</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SUMIFS(Journal!$D$6:$D$9995,Journal!$B$6:$B$9995,D$5,Journal!$C$6:$C$9995,$B44)</f>
        <v>0</v>
      </c>
      <c r="E45" s="60"/>
      <c r="F45" s="59">
        <f>SUMIFS(Journal!$D$6:$D$9995,Journal!$B$6:$B$9995,F$5,Journal!$C$6:$C$9995,$B44)</f>
        <v>0</v>
      </c>
      <c r="G45" s="60"/>
      <c r="H45" s="59">
        <f>SUMIFS(Journal!$D$6:$D$9995,Journal!$B$6:$B$9995,H$5,Journal!$C$6:$C$9995,$B44)</f>
        <v>0</v>
      </c>
      <c r="I45" s="61"/>
      <c r="J45" s="59">
        <f>SUMIFS(Journal!$D$6:$D$9995,Journal!$B$6:$B$9995,J$5,Journal!$C$6:$C$9995,$B44)</f>
        <v>0</v>
      </c>
      <c r="K45" s="61"/>
      <c r="L45" s="59">
        <f>SUMIFS(Journal!$D$6:$D$9995,Journal!$B$6:$B$9995,L$5,Journal!$C$6:$C$9995,$B44)</f>
        <v>0</v>
      </c>
      <c r="M45" s="60"/>
      <c r="N45" s="59">
        <f>SUMIFS(Journal!$D$6:$D$9995,Journal!$B$6:$B$9995,N$5,Journal!$C$6:$C$9995,$B44)</f>
        <v>0</v>
      </c>
      <c r="O45" s="60"/>
      <c r="P45" s="59">
        <f>SUMIFS(Journal!$D$6:$D$9995,Journal!$B$6:$B$9995,P$5,Journal!$C$6:$C$9995,$B44)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SUMIFS(Journal!$D$6:$D$9995,Journal!$B$6:$B$9995,D$5,Journal!$C$6:$C$9995,$B46)</f>
        <v>0</v>
      </c>
      <c r="E47" s="60"/>
      <c r="F47" s="59">
        <f>SUMIFS(Journal!$D$6:$D$9995,Journal!$B$6:$B$9995,F$5,Journal!$C$6:$C$9995,$B46)</f>
        <v>0</v>
      </c>
      <c r="G47" s="60"/>
      <c r="H47" s="59">
        <f>SUMIFS(Journal!$D$6:$D$9995,Journal!$B$6:$B$9995,H$5,Journal!$C$6:$C$9995,$B46)</f>
        <v>0</v>
      </c>
      <c r="I47" s="61"/>
      <c r="J47" s="59">
        <f>SUMIFS(Journal!$D$6:$D$9995,Journal!$B$6:$B$9995,J$5,Journal!$C$6:$C$9995,$B46)</f>
        <v>0</v>
      </c>
      <c r="K47" s="61"/>
      <c r="L47" s="59">
        <f>SUMIFS(Journal!$D$6:$D$9995,Journal!$B$6:$B$9995,L$5,Journal!$C$6:$C$9995,$B46)</f>
        <v>0</v>
      </c>
      <c r="M47" s="60"/>
      <c r="N47" s="59">
        <f>SUMIFS(Journal!$D$6:$D$9995,Journal!$B$6:$B$9995,N$5,Journal!$C$6:$C$9995,$B46)</f>
        <v>0</v>
      </c>
      <c r="O47" s="60"/>
      <c r="P47" s="59">
        <f>SUMIFS(Journal!$D$6:$D$9995,Journal!$B$6:$B$9995,P$5,Journal!$C$6:$C$9995,$B46)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SUMIFS(Journal!$D$6:$D$9995,Journal!$B$6:$B$9995,D$5,Journal!$C$6:$C$9995,$B48)</f>
        <v>0</v>
      </c>
      <c r="E49" s="60"/>
      <c r="F49" s="59">
        <f>SUMIFS(Journal!$D$6:$D$9995,Journal!$B$6:$B$9995,F$5,Journal!$C$6:$C$9995,$B48)</f>
        <v>0</v>
      </c>
      <c r="G49" s="60"/>
      <c r="H49" s="59">
        <f>SUMIFS(Journal!$D$6:$D$9995,Journal!$B$6:$B$9995,H$5,Journal!$C$6:$C$9995,$B48)</f>
        <v>0</v>
      </c>
      <c r="I49" s="61"/>
      <c r="J49" s="59">
        <f>SUMIFS(Journal!$D$6:$D$9995,Journal!$B$6:$B$9995,J$5,Journal!$C$6:$C$9995,$B48)</f>
        <v>0</v>
      </c>
      <c r="K49" s="61"/>
      <c r="L49" s="59">
        <f>SUMIFS(Journal!$D$6:$D$9995,Journal!$B$6:$B$9995,L$5,Journal!$C$6:$C$9995,$B48)</f>
        <v>0</v>
      </c>
      <c r="M49" s="60"/>
      <c r="N49" s="59">
        <f>SUMIFS(Journal!$D$6:$D$9995,Journal!$B$6:$B$9995,N$5,Journal!$C$6:$C$9995,$B48)</f>
        <v>0</v>
      </c>
      <c r="O49" s="60"/>
      <c r="P49" s="59">
        <f>SUMIFS(Journal!$D$6:$D$9995,Journal!$B$6:$B$9995,P$5,Journal!$C$6:$C$9995,$B48)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SUMIFS(Journal!$D$6:$D$9995,Journal!$B$6:$B$9995,D$5,Journal!$C$6:$C$9995,$B50)</f>
        <v>0</v>
      </c>
      <c r="E51" s="60"/>
      <c r="F51" s="59">
        <f>SUMIFS(Journal!$D$6:$D$9995,Journal!$B$6:$B$9995,F$5,Journal!$C$6:$C$9995,$B50)</f>
        <v>0</v>
      </c>
      <c r="G51" s="60"/>
      <c r="H51" s="59">
        <f>SUMIFS(Journal!$D$6:$D$9995,Journal!$B$6:$B$9995,H$5,Journal!$C$6:$C$9995,$B50)</f>
        <v>0</v>
      </c>
      <c r="I51" s="61"/>
      <c r="J51" s="59">
        <f>SUMIFS(Journal!$D$6:$D$9995,Journal!$B$6:$B$9995,J$5,Journal!$C$6:$C$9995,$B50)</f>
        <v>0</v>
      </c>
      <c r="K51" s="61"/>
      <c r="L51" s="59">
        <f>SUMIFS(Journal!$D$6:$D$9995,Journal!$B$6:$B$9995,L$5,Journal!$C$6:$C$9995,$B50)</f>
        <v>0</v>
      </c>
      <c r="M51" s="60"/>
      <c r="N51" s="59">
        <f>SUMIFS(Journal!$D$6:$D$9995,Journal!$B$6:$B$9995,N$5,Journal!$C$6:$C$9995,$B50)</f>
        <v>0</v>
      </c>
      <c r="O51" s="60"/>
      <c r="P51" s="59">
        <f>SUMIFS(Journal!$D$6:$D$9995,Journal!$B$6:$B$9995,P$5,Journal!$C$6:$C$9995,$B50)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SUMIFS(Journal!$D$6:$D$9995,Journal!$B$6:$B$9995,D$5,Journal!$C$6:$C$9995,$B52)</f>
        <v>0</v>
      </c>
      <c r="E53" s="60"/>
      <c r="F53" s="59">
        <f>SUMIFS(Journal!$D$6:$D$9995,Journal!$B$6:$B$9995,F$5,Journal!$C$6:$C$9995,$B52)</f>
        <v>0</v>
      </c>
      <c r="G53" s="60"/>
      <c r="H53" s="59">
        <f>SUMIFS(Journal!$D$6:$D$9995,Journal!$B$6:$B$9995,H$5,Journal!$C$6:$C$9995,$B52)</f>
        <v>0</v>
      </c>
      <c r="I53" s="61"/>
      <c r="J53" s="59">
        <f>SUMIFS(Journal!$D$6:$D$9995,Journal!$B$6:$B$9995,J$5,Journal!$C$6:$C$9995,$B52)</f>
        <v>0</v>
      </c>
      <c r="K53" s="61"/>
      <c r="L53" s="59">
        <f>SUMIFS(Journal!$D$6:$D$9995,Journal!$B$6:$B$9995,L$5,Journal!$C$6:$C$9995,$B52)</f>
        <v>0</v>
      </c>
      <c r="M53" s="60"/>
      <c r="N53" s="59">
        <f>SUMIFS(Journal!$D$6:$D$9995,Journal!$B$6:$B$9995,N$5,Journal!$C$6:$C$9995,$B52)</f>
        <v>0</v>
      </c>
      <c r="O53" s="60"/>
      <c r="P53" s="59">
        <f>SUMIFS(Journal!$D$6:$D$9995,Journal!$B$6:$B$9995,P$5,Journal!$C$6:$C$9995,$B52)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SUMIFS(Journal!$D$6:$D$9995,Journal!$B$6:$B$9995,D$5,Journal!$C$6:$C$9995,$B54)</f>
        <v>0</v>
      </c>
      <c r="E55" s="60"/>
      <c r="F55" s="59">
        <f>SUMIFS(Journal!$D$6:$D$9995,Journal!$B$6:$B$9995,F$5,Journal!$C$6:$C$9995,$B54)</f>
        <v>0</v>
      </c>
      <c r="G55" s="60"/>
      <c r="H55" s="59">
        <f>SUMIFS(Journal!$D$6:$D$9995,Journal!$B$6:$B$9995,H$5,Journal!$C$6:$C$9995,$B54)</f>
        <v>0</v>
      </c>
      <c r="I55" s="61"/>
      <c r="J55" s="59">
        <f>SUMIFS(Journal!$D$6:$D$9995,Journal!$B$6:$B$9995,J$5,Journal!$C$6:$C$9995,$B54)</f>
        <v>0</v>
      </c>
      <c r="K55" s="61"/>
      <c r="L55" s="59">
        <f>SUMIFS(Journal!$D$6:$D$9995,Journal!$B$6:$B$9995,L$5,Journal!$C$6:$C$9995,$B54)</f>
        <v>0</v>
      </c>
      <c r="M55" s="60"/>
      <c r="N55" s="59">
        <f>SUMIFS(Journal!$D$6:$D$9995,Journal!$B$6:$B$9995,N$5,Journal!$C$6:$C$9995,$B54)</f>
        <v>0</v>
      </c>
      <c r="O55" s="60"/>
      <c r="P55" s="59">
        <f>SUMIFS(Journal!$D$6:$D$9995,Journal!$B$6:$B$9995,P$5,Journal!$C$6:$C$9995,$B54)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SUMIFS(Journal!$D$6:$D$9995,Journal!$B$6:$B$9995,D$5,Journal!$C$6:$C$9995,$B56)</f>
        <v>0</v>
      </c>
      <c r="E57" s="60"/>
      <c r="F57" s="59">
        <f>SUMIFS(Journal!$D$6:$D$9995,Journal!$B$6:$B$9995,F$5,Journal!$C$6:$C$9995,$B56)</f>
        <v>0</v>
      </c>
      <c r="G57" s="60"/>
      <c r="H57" s="59">
        <f>SUMIFS(Journal!$D$6:$D$9995,Journal!$B$6:$B$9995,H$5,Journal!$C$6:$C$9995,$B56)</f>
        <v>0</v>
      </c>
      <c r="I57" s="61"/>
      <c r="J57" s="59">
        <f>SUMIFS(Journal!$D$6:$D$9995,Journal!$B$6:$B$9995,J$5,Journal!$C$6:$C$9995,$B56)</f>
        <v>0</v>
      </c>
      <c r="K57" s="61"/>
      <c r="L57" s="59">
        <f>SUMIFS(Journal!$D$6:$D$9995,Journal!$B$6:$B$9995,L$5,Journal!$C$6:$C$9995,$B56)</f>
        <v>0</v>
      </c>
      <c r="M57" s="60"/>
      <c r="N57" s="59">
        <f>SUMIFS(Journal!$D$6:$D$9995,Journal!$B$6:$B$9995,N$5,Journal!$C$6:$C$9995,$B56)</f>
        <v>0</v>
      </c>
      <c r="O57" s="60"/>
      <c r="P57" s="59">
        <f>SUMIFS(Journal!$D$6:$D$9995,Journal!$B$6:$B$9995,P$5,Journal!$C$6:$C$9995,$B56)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0.47916666666666663</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SUMIFS(Journal!$D$6:$D$9995,Journal!$B$6:$B$9995,D$5,Journal!$C$6:$C$9995,$B60)</f>
        <v>0</v>
      </c>
      <c r="E61" s="60"/>
      <c r="F61" s="59">
        <f>SUMIFS(Journal!$D$6:$D$9995,Journal!$B$6:$B$9995,F$5,Journal!$C$6:$C$9995,$B60)</f>
        <v>2.0833333333333332E-2</v>
      </c>
      <c r="G61" s="60"/>
      <c r="H61" s="59">
        <f>SUMIFS(Journal!$D$6:$D$9995,Journal!$B$6:$B$9995,H$5,Journal!$C$6:$C$9995,$B60)</f>
        <v>0</v>
      </c>
      <c r="I61" s="61"/>
      <c r="J61" s="59">
        <f>SUMIFS(Journal!$D$6:$D$9995,Journal!$B$6:$B$9995,J$5,Journal!$C$6:$C$9995,$B60)</f>
        <v>0</v>
      </c>
      <c r="K61" s="61"/>
      <c r="L61" s="59">
        <f>SUMIFS(Journal!$D$6:$D$9995,Journal!$B$6:$B$9995,L$5,Journal!$C$6:$C$9995,$B60)</f>
        <v>0</v>
      </c>
      <c r="M61" s="60"/>
      <c r="N61" s="59">
        <f>SUMIFS(Journal!$D$6:$D$9995,Journal!$B$6:$B$9995,N$5,Journal!$C$6:$C$9995,$B60)</f>
        <v>0</v>
      </c>
      <c r="O61" s="60"/>
      <c r="P61" s="59">
        <f>SUMIFS(Journal!$D$6:$D$9995,Journal!$B$6:$B$9995,P$5,Journal!$C$6:$C$9995,$B60)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SUMIFS(Journal!$D$6:$D$9995,Journal!$B$6:$B$9995,D$5,Journal!$C$6:$C$9995,$B62)</f>
        <v>0</v>
      </c>
      <c r="E63" s="60"/>
      <c r="F63" s="59">
        <f>SUMIFS(Journal!$D$6:$D$9995,Journal!$B$6:$B$9995,F$5,Journal!$C$6:$C$9995,$B62)</f>
        <v>2.0833333333333332E-2</v>
      </c>
      <c r="G63" s="60"/>
      <c r="H63" s="59">
        <f>SUMIFS(Journal!$D$6:$D$9995,Journal!$B$6:$B$9995,H$5,Journal!$C$6:$C$9995,$B62)</f>
        <v>0</v>
      </c>
      <c r="I63" s="61"/>
      <c r="J63" s="59">
        <f>SUMIFS(Journal!$D$6:$D$9995,Journal!$B$6:$B$9995,J$5,Journal!$C$6:$C$9995,$B62)</f>
        <v>0</v>
      </c>
      <c r="K63" s="61"/>
      <c r="L63" s="59">
        <f>SUMIFS(Journal!$D$6:$D$9995,Journal!$B$6:$B$9995,L$5,Journal!$C$6:$C$9995,$B62)</f>
        <v>0</v>
      </c>
      <c r="M63" s="60"/>
      <c r="N63" s="59">
        <f>SUMIFS(Journal!$D$6:$D$9995,Journal!$B$6:$B$9995,N$5,Journal!$C$6:$C$9995,$B62)</f>
        <v>0</v>
      </c>
      <c r="O63" s="60"/>
      <c r="P63" s="59">
        <f>SUMIFS(Journal!$D$6:$D$9995,Journal!$B$6:$B$9995,P$5,Journal!$C$6:$C$9995,$B62)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SUMIFS(Journal!$D$6:$D$9995,Journal!$B$6:$B$9995,D$5,Journal!$C$6:$C$9995,$B64)</f>
        <v>0</v>
      </c>
      <c r="E65" s="60"/>
      <c r="F65" s="59">
        <f>SUMIFS(Journal!$D$6:$D$9995,Journal!$B$6:$B$9995,F$5,Journal!$C$6:$C$9995,$B64)</f>
        <v>2.0833333333333332E-2</v>
      </c>
      <c r="G65" s="60"/>
      <c r="H65" s="59">
        <f>SUMIFS(Journal!$D$6:$D$9995,Journal!$B$6:$B$9995,H$5,Journal!$C$6:$C$9995,$B64)</f>
        <v>0</v>
      </c>
      <c r="I65" s="61"/>
      <c r="J65" s="59">
        <f>SUMIFS(Journal!$D$6:$D$9995,Journal!$B$6:$B$9995,J$5,Journal!$C$6:$C$9995,$B64)</f>
        <v>0</v>
      </c>
      <c r="K65" s="61"/>
      <c r="L65" s="59">
        <f>SUMIFS(Journal!$D$6:$D$9995,Journal!$B$6:$B$9995,L$5,Journal!$C$6:$C$9995,$B64)</f>
        <v>0</v>
      </c>
      <c r="M65" s="60"/>
      <c r="N65" s="59">
        <f>SUMIFS(Journal!$D$6:$D$9995,Journal!$B$6:$B$9995,N$5,Journal!$C$6:$C$9995,$B64)</f>
        <v>0</v>
      </c>
      <c r="O65" s="60"/>
      <c r="P65" s="59">
        <f>SUMIFS(Journal!$D$6:$D$9995,Journal!$B$6:$B$9995,P$5,Journal!$C$6:$C$9995,$B64)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SUMIFS(Journal!$D$6:$D$9995,Journal!$B$6:$B$9995,D$5,Journal!$C$6:$C$9995,$B66)</f>
        <v>0</v>
      </c>
      <c r="E67" s="60"/>
      <c r="F67" s="59">
        <f>SUMIFS(Journal!$D$6:$D$9995,Journal!$B$6:$B$9995,F$5,Journal!$C$6:$C$9995,$B66)</f>
        <v>2.0833333333333332E-2</v>
      </c>
      <c r="G67" s="60"/>
      <c r="H67" s="59">
        <f>SUMIFS(Journal!$D$6:$D$9995,Journal!$B$6:$B$9995,H$5,Journal!$C$6:$C$9995,$B66)</f>
        <v>0</v>
      </c>
      <c r="I67" s="61"/>
      <c r="J67" s="59">
        <f>SUMIFS(Journal!$D$6:$D$9995,Journal!$B$6:$B$9995,J$5,Journal!$C$6:$C$9995,$B66)</f>
        <v>0</v>
      </c>
      <c r="K67" s="61"/>
      <c r="L67" s="59">
        <f>SUMIFS(Journal!$D$6:$D$9995,Journal!$B$6:$B$9995,L$5,Journal!$C$6:$C$9995,$B66)</f>
        <v>0</v>
      </c>
      <c r="M67" s="60"/>
      <c r="N67" s="59">
        <f>SUMIFS(Journal!$D$6:$D$9995,Journal!$B$6:$B$9995,N$5,Journal!$C$6:$C$9995,$B66)</f>
        <v>0</v>
      </c>
      <c r="O67" s="60"/>
      <c r="P67" s="59">
        <f>SUMIFS(Journal!$D$6:$D$9995,Journal!$B$6:$B$9995,P$5,Journal!$C$6:$C$9995,$B66)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SUMIFS(Journal!$D$6:$D$9995,Journal!$B$6:$B$9995,D$5,Journal!$C$6:$C$9995,$B68)</f>
        <v>0</v>
      </c>
      <c r="E69" s="60"/>
      <c r="F69" s="59">
        <f>SUMIFS(Journal!$D$6:$D$9995,Journal!$B$6:$B$9995,F$5,Journal!$C$6:$C$9995,$B68)</f>
        <v>0</v>
      </c>
      <c r="G69" s="60"/>
      <c r="H69" s="59">
        <f>SUMIFS(Journal!$D$6:$D$9995,Journal!$B$6:$B$9995,H$5,Journal!$C$6:$C$9995,$B68)</f>
        <v>6.25E-2</v>
      </c>
      <c r="I69" s="61"/>
      <c r="J69" s="59">
        <f>SUMIFS(Journal!$D$6:$D$9995,Journal!$B$6:$B$9995,J$5,Journal!$C$6:$C$9995,$B68)</f>
        <v>0</v>
      </c>
      <c r="K69" s="61"/>
      <c r="L69" s="59">
        <f>SUMIFS(Journal!$D$6:$D$9995,Journal!$B$6:$B$9995,L$5,Journal!$C$6:$C$9995,$B68)</f>
        <v>0</v>
      </c>
      <c r="M69" s="60"/>
      <c r="N69" s="59">
        <f>SUMIFS(Journal!$D$6:$D$9995,Journal!$B$6:$B$9995,N$5,Journal!$C$6:$C$9995,$B68)</f>
        <v>0</v>
      </c>
      <c r="O69" s="60"/>
      <c r="P69" s="59">
        <f>SUMIFS(Journal!$D$6:$D$9995,Journal!$B$6:$B$9995,P$5,Journal!$C$6:$C$9995,$B68)</f>
        <v>0</v>
      </c>
      <c r="Q69" s="60"/>
      <c r="R69" s="62">
        <f t="shared" si="50"/>
        <v>6.25E-2</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SUMIFS(Journal!$D$6:$D$9995,Journal!$B$6:$B$9995,D$5,Journal!$C$6:$C$9995,$B70)</f>
        <v>0</v>
      </c>
      <c r="E71" s="60"/>
      <c r="F71" s="59">
        <f>SUMIFS(Journal!$D$6:$D$9995,Journal!$B$6:$B$9995,F$5,Journal!$C$6:$C$9995,$B70)</f>
        <v>0</v>
      </c>
      <c r="G71" s="60"/>
      <c r="H71" s="59">
        <f>SUMIFS(Journal!$D$6:$D$9995,Journal!$B$6:$B$9995,H$5,Journal!$C$6:$C$9995,$B70)</f>
        <v>6.25E-2</v>
      </c>
      <c r="I71" s="61"/>
      <c r="J71" s="59">
        <f>SUMIFS(Journal!$D$6:$D$9995,Journal!$B$6:$B$9995,J$5,Journal!$C$6:$C$9995,$B70)</f>
        <v>0</v>
      </c>
      <c r="K71" s="61"/>
      <c r="L71" s="59">
        <f>SUMIFS(Journal!$D$6:$D$9995,Journal!$B$6:$B$9995,L$5,Journal!$C$6:$C$9995,$B70)</f>
        <v>0</v>
      </c>
      <c r="M71" s="60"/>
      <c r="N71" s="59">
        <f>SUMIFS(Journal!$D$6:$D$9995,Journal!$B$6:$B$9995,N$5,Journal!$C$6:$C$9995,$B70)</f>
        <v>0</v>
      </c>
      <c r="O71" s="60"/>
      <c r="P71" s="59">
        <f>SUMIFS(Journal!$D$6:$D$9995,Journal!$B$6:$B$9995,P$5,Journal!$C$6:$C$9995,$B70)</f>
        <v>0</v>
      </c>
      <c r="Q71" s="60"/>
      <c r="R71" s="62">
        <f t="shared" si="52"/>
        <v>6.25E-2</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SUMIFS(Journal!$D$6:$D$9995,Journal!$B$6:$B$9995,D$5,Journal!$C$6:$C$9995,$B72)</f>
        <v>0</v>
      </c>
      <c r="E73" s="60"/>
      <c r="F73" s="59">
        <f>SUMIFS(Journal!$D$6:$D$9995,Journal!$B$6:$B$9995,F$5,Journal!$C$6:$C$9995,$B72)</f>
        <v>0</v>
      </c>
      <c r="G73" s="60"/>
      <c r="H73" s="59">
        <f>SUMIFS(Journal!$D$6:$D$9995,Journal!$B$6:$B$9995,H$5,Journal!$C$6:$C$9995,$B72)</f>
        <v>0</v>
      </c>
      <c r="I73" s="61"/>
      <c r="J73" s="59">
        <f>SUMIFS(Journal!$D$6:$D$9995,Journal!$B$6:$B$9995,J$5,Journal!$C$6:$C$9995,$B72)</f>
        <v>2.0833333333333332E-2</v>
      </c>
      <c r="K73" s="61"/>
      <c r="L73" s="59">
        <f>SUMIFS(Journal!$D$6:$D$9995,Journal!$B$6:$B$9995,L$5,Journal!$C$6:$C$9995,$B72)</f>
        <v>0</v>
      </c>
      <c r="M73" s="60"/>
      <c r="N73" s="59">
        <f>SUMIFS(Journal!$D$6:$D$9995,Journal!$B$6:$B$9995,N$5,Journal!$C$6:$C$9995,$B72)</f>
        <v>0</v>
      </c>
      <c r="O73" s="60"/>
      <c r="P73" s="59">
        <f>SUMIFS(Journal!$D$6:$D$9995,Journal!$B$6:$B$9995,P$5,Journal!$C$6:$C$9995,$B72)</f>
        <v>0</v>
      </c>
      <c r="Q73" s="60"/>
      <c r="R73" s="62">
        <f t="shared" si="55"/>
        <v>2.0833333333333332E-2</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SUMIFS(Journal!$D$6:$D$9995,Journal!$B$6:$B$9995,D$5,Journal!$C$6:$C$9995,$B74)</f>
        <v>0</v>
      </c>
      <c r="E75" s="60"/>
      <c r="F75" s="59">
        <f>SUMIFS(Journal!$D$6:$D$9995,Journal!$B$6:$B$9995,F$5,Journal!$C$6:$C$9995,$B74)</f>
        <v>0</v>
      </c>
      <c r="G75" s="60"/>
      <c r="H75" s="59">
        <f>SUMIFS(Journal!$D$6:$D$9995,Journal!$B$6:$B$9995,H$5,Journal!$C$6:$C$9995,$B74)</f>
        <v>0</v>
      </c>
      <c r="I75" s="61"/>
      <c r="J75" s="59">
        <f>SUMIFS(Journal!$D$6:$D$9995,Journal!$B$6:$B$9995,J$5,Journal!$C$6:$C$9995,$B74)</f>
        <v>4.1666666666666664E-2</v>
      </c>
      <c r="K75" s="61"/>
      <c r="L75" s="59">
        <f>SUMIFS(Journal!$D$6:$D$9995,Journal!$B$6:$B$9995,L$5,Journal!$C$6:$C$9995,$B74)</f>
        <v>0</v>
      </c>
      <c r="M75" s="60"/>
      <c r="N75" s="59">
        <f>SUMIFS(Journal!$D$6:$D$9995,Journal!$B$6:$B$9995,N$5,Journal!$C$6:$C$9995,$B74)</f>
        <v>0</v>
      </c>
      <c r="O75" s="60"/>
      <c r="P75" s="59">
        <f>SUMIFS(Journal!$D$6:$D$9995,Journal!$B$6:$B$9995,P$5,Journal!$C$6:$C$9995,$B74)</f>
        <v>0</v>
      </c>
      <c r="Q75" s="60"/>
      <c r="R75" s="62">
        <f t="shared" si="55"/>
        <v>4.1666666666666664E-2</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SUMIFS(Journal!$D$6:$D$9995,Journal!$B$6:$B$9995,D$5,Journal!$C$6:$C$9995,$B76)</f>
        <v>0</v>
      </c>
      <c r="E77" s="60"/>
      <c r="F77" s="59">
        <f>SUMIFS(Journal!$D$6:$D$9995,Journal!$B$6:$B$9995,F$5,Journal!$C$6:$C$9995,$B76)</f>
        <v>0</v>
      </c>
      <c r="G77" s="60"/>
      <c r="H77" s="59">
        <f>SUMIFS(Journal!$D$6:$D$9995,Journal!$B$6:$B$9995,H$5,Journal!$C$6:$C$9995,$B76)</f>
        <v>0</v>
      </c>
      <c r="I77" s="61"/>
      <c r="J77" s="59">
        <f>SUMIFS(Journal!$D$6:$D$9995,Journal!$B$6:$B$9995,J$5,Journal!$C$6:$C$9995,$B76)</f>
        <v>0</v>
      </c>
      <c r="K77" s="61"/>
      <c r="L77" s="59">
        <f>SUMIFS(Journal!$D$6:$D$9995,Journal!$B$6:$B$9995,L$5,Journal!$C$6:$C$9995,$B76)</f>
        <v>0</v>
      </c>
      <c r="M77" s="60"/>
      <c r="N77" s="59">
        <f>SUMIFS(Journal!$D$6:$D$9995,Journal!$B$6:$B$9995,N$5,Journal!$C$6:$C$9995,$B76)</f>
        <v>0</v>
      </c>
      <c r="O77" s="60"/>
      <c r="P77" s="59">
        <f>SUMIFS(Journal!$D$6:$D$9995,Journal!$B$6:$B$9995,P$5,Journal!$C$6:$C$9995,$B76)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SUMIFS(Journal!$D$6:$D$9995,Journal!$B$6:$B$9995,D$5,Journal!$C$6:$C$9995,$B78)</f>
        <v>0</v>
      </c>
      <c r="E79" s="60"/>
      <c r="F79" s="59">
        <f>SUMIFS(Journal!$D$6:$D$9995,Journal!$B$6:$B$9995,F$5,Journal!$C$6:$C$9995,$B78)</f>
        <v>0</v>
      </c>
      <c r="G79" s="60"/>
      <c r="H79" s="59">
        <f>SUMIFS(Journal!$D$6:$D$9995,Journal!$B$6:$B$9995,H$5,Journal!$C$6:$C$9995,$B78)</f>
        <v>0</v>
      </c>
      <c r="I79" s="61"/>
      <c r="J79" s="59">
        <f>SUMIFS(Journal!$D$6:$D$9995,Journal!$B$6:$B$9995,J$5,Journal!$C$6:$C$9995,$B78)</f>
        <v>0</v>
      </c>
      <c r="K79" s="61"/>
      <c r="L79" s="59">
        <f>SUMIFS(Journal!$D$6:$D$9995,Journal!$B$6:$B$9995,L$5,Journal!$C$6:$C$9995,$B78)</f>
        <v>0</v>
      </c>
      <c r="M79" s="60"/>
      <c r="N79" s="59">
        <f>SUMIFS(Journal!$D$6:$D$9995,Journal!$B$6:$B$9995,N$5,Journal!$C$6:$C$9995,$B78)</f>
        <v>0</v>
      </c>
      <c r="O79" s="60"/>
      <c r="P79" s="59">
        <f>SUMIFS(Journal!$D$6:$D$9995,Journal!$B$6:$B$9995,P$5,Journal!$C$6:$C$9995,$B78)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SUMIFS(Journal!$D$6:$D$9995,Journal!$B$6:$B$9995,D$5,Journal!$C$6:$C$9995,$B80)</f>
        <v>0</v>
      </c>
      <c r="E81" s="60"/>
      <c r="F81" s="59">
        <f>SUMIFS(Journal!$D$6:$D$9995,Journal!$B$6:$B$9995,F$5,Journal!$C$6:$C$9995,$B80)</f>
        <v>0</v>
      </c>
      <c r="G81" s="60"/>
      <c r="H81" s="59">
        <f>SUMIFS(Journal!$D$6:$D$9995,Journal!$B$6:$B$9995,H$5,Journal!$C$6:$C$9995,$B80)</f>
        <v>0</v>
      </c>
      <c r="I81" s="61"/>
      <c r="J81" s="59">
        <f>SUMIFS(Journal!$D$6:$D$9995,Journal!$B$6:$B$9995,J$5,Journal!$C$6:$C$9995,$B80)</f>
        <v>0</v>
      </c>
      <c r="K81" s="61"/>
      <c r="L81" s="59">
        <f>SUMIFS(Journal!$D$6:$D$9995,Journal!$B$6:$B$9995,L$5,Journal!$C$6:$C$9995,$B80)</f>
        <v>0</v>
      </c>
      <c r="M81" s="60"/>
      <c r="N81" s="59">
        <f>SUMIFS(Journal!$D$6:$D$9995,Journal!$B$6:$B$9995,N$5,Journal!$C$6:$C$9995,$B80)</f>
        <v>0</v>
      </c>
      <c r="O81" s="60"/>
      <c r="P81" s="59">
        <f>SUMIFS(Journal!$D$6:$D$9995,Journal!$B$6:$B$9995,P$5,Journal!$C$6:$C$9995,$B80)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SUMIFS(Journal!$D$6:$D$9995,Journal!$B$6:$B$9995,D$5,Journal!$C$6:$C$9995,$B82)</f>
        <v>0</v>
      </c>
      <c r="E83" s="60"/>
      <c r="F83" s="59">
        <f>SUMIFS(Journal!$D$6:$D$9995,Journal!$B$6:$B$9995,F$5,Journal!$C$6:$C$9995,$B82)</f>
        <v>0</v>
      </c>
      <c r="G83" s="60"/>
      <c r="H83" s="59">
        <f>SUMIFS(Journal!$D$6:$D$9995,Journal!$B$6:$B$9995,H$5,Journal!$C$6:$C$9995,$B82)</f>
        <v>0</v>
      </c>
      <c r="I83" s="61"/>
      <c r="J83" s="59">
        <f>SUMIFS(Journal!$D$6:$D$9995,Journal!$B$6:$B$9995,J$5,Journal!$C$6:$C$9995,$B82)</f>
        <v>0</v>
      </c>
      <c r="K83" s="61"/>
      <c r="L83" s="59">
        <f>SUMIFS(Journal!$D$6:$D$9995,Journal!$B$6:$B$9995,L$5,Journal!$C$6:$C$9995,$B82)</f>
        <v>0</v>
      </c>
      <c r="M83" s="60"/>
      <c r="N83" s="59">
        <f>SUMIFS(Journal!$D$6:$D$9995,Journal!$B$6:$B$9995,N$5,Journal!$C$6:$C$9995,$B82)</f>
        <v>0</v>
      </c>
      <c r="O83" s="60"/>
      <c r="P83" s="59">
        <f>SUMIFS(Journal!$D$6:$D$9995,Journal!$B$6:$B$9995,P$5,Journal!$C$6:$C$9995,$B82)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SUMIFS(Journal!$D$6:$D$9995,Journal!$B$6:$B$9995,D$5,Journal!$C$6:$C$9995,$B84)</f>
        <v>0</v>
      </c>
      <c r="E85" s="60"/>
      <c r="F85" s="59">
        <f>SUMIFS(Journal!$D$6:$D$9995,Journal!$B$6:$B$9995,F$5,Journal!$C$6:$C$9995,$B84)</f>
        <v>0</v>
      </c>
      <c r="G85" s="60"/>
      <c r="H85" s="59">
        <f>SUMIFS(Journal!$D$6:$D$9995,Journal!$B$6:$B$9995,H$5,Journal!$C$6:$C$9995,$B84)</f>
        <v>0</v>
      </c>
      <c r="I85" s="61"/>
      <c r="J85" s="59">
        <f>SUMIFS(Journal!$D$6:$D$9995,Journal!$B$6:$B$9995,J$5,Journal!$C$6:$C$9995,$B84)</f>
        <v>0</v>
      </c>
      <c r="K85" s="61"/>
      <c r="L85" s="59">
        <f>SUMIFS(Journal!$D$6:$D$9995,Journal!$B$6:$B$9995,L$5,Journal!$C$6:$C$9995,$B84)</f>
        <v>0</v>
      </c>
      <c r="M85" s="60"/>
      <c r="N85" s="59">
        <f>SUMIFS(Journal!$D$6:$D$9995,Journal!$B$6:$B$9995,N$5,Journal!$C$6:$C$9995,$B84)</f>
        <v>0</v>
      </c>
      <c r="O85" s="60"/>
      <c r="P85" s="59">
        <f>SUMIFS(Journal!$D$6:$D$9995,Journal!$B$6:$B$9995,P$5,Journal!$C$6:$C$9995,$B84)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SUMIFS(Journal!$D$6:$D$9995,Journal!$B$6:$B$9995,D$5,Journal!$C$6:$C$9995,$B86)</f>
        <v>0</v>
      </c>
      <c r="E87" s="60"/>
      <c r="F87" s="59">
        <f>SUMIFS(Journal!$D$6:$D$9995,Journal!$B$6:$B$9995,F$5,Journal!$C$6:$C$9995,$B86)</f>
        <v>0</v>
      </c>
      <c r="G87" s="60"/>
      <c r="H87" s="59">
        <f>SUMIFS(Journal!$D$6:$D$9995,Journal!$B$6:$B$9995,H$5,Journal!$C$6:$C$9995,$B86)</f>
        <v>0.16666666666666669</v>
      </c>
      <c r="I87" s="61"/>
      <c r="J87" s="59">
        <f>SUMIFS(Journal!$D$6:$D$9995,Journal!$B$6:$B$9995,J$5,Journal!$C$6:$C$9995,$B86)</f>
        <v>4.1666666666666664E-2</v>
      </c>
      <c r="K87" s="61"/>
      <c r="L87" s="59">
        <f>SUMIFS(Journal!$D$6:$D$9995,Journal!$B$6:$B$9995,L$5,Journal!$C$6:$C$9995,$B86)</f>
        <v>0</v>
      </c>
      <c r="M87" s="60"/>
      <c r="N87" s="59">
        <f>SUMIFS(Journal!$D$6:$D$9995,Journal!$B$6:$B$9995,N$5,Journal!$C$6:$C$9995,$B86)</f>
        <v>0</v>
      </c>
      <c r="O87" s="60"/>
      <c r="P87" s="59">
        <f>SUMIFS(Journal!$D$6:$D$9995,Journal!$B$6:$B$9995,P$5,Journal!$C$6:$C$9995,$B86)</f>
        <v>0</v>
      </c>
      <c r="Q87" s="60"/>
      <c r="R87" s="62">
        <f t="shared" si="70"/>
        <v>0.20833333333333334</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0.91666666666666663</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SUMIFS(Journal!$D$6:$D$9995,Journal!$B$6:$B$9995,D$5,Journal!$C$6:$C$9995,$B90)</f>
        <v>0.10416666666666666</v>
      </c>
      <c r="E91" s="60"/>
      <c r="F91" s="59">
        <f>SUMIFS(Journal!$D$6:$D$9995,Journal!$B$6:$B$9995,F$5,Journal!$C$6:$C$9995,$B90)</f>
        <v>4.1666666666666664E-2</v>
      </c>
      <c r="G91" s="60"/>
      <c r="H91" s="59">
        <f>SUMIFS(Journal!$D$6:$D$9995,Journal!$B$6:$B$9995,H$5,Journal!$C$6:$C$9995,$B90)</f>
        <v>4.1666666666666664E-2</v>
      </c>
      <c r="I91" s="61"/>
      <c r="J91" s="59">
        <f>SUMIFS(Journal!$D$6:$D$9995,Journal!$B$6:$B$9995,J$5,Journal!$C$6:$C$9995,$B90)</f>
        <v>0.19444444444444442</v>
      </c>
      <c r="K91" s="61"/>
      <c r="L91" s="59">
        <f>SUMIFS(Journal!$D$6:$D$9995,Journal!$B$6:$B$9995,L$5,Journal!$C$6:$C$9995,$B90)</f>
        <v>0</v>
      </c>
      <c r="M91" s="60"/>
      <c r="N91" s="59">
        <f>SUMIFS(Journal!$D$6:$D$9995,Journal!$B$6:$B$9995,N$5,Journal!$C$6:$C$9995,$B90)</f>
        <v>0</v>
      </c>
      <c r="O91" s="60"/>
      <c r="P91" s="59">
        <f>SUMIFS(Journal!$D$6:$D$9995,Journal!$B$6:$B$9995,P$5,Journal!$C$6:$C$9995,$B90)</f>
        <v>0</v>
      </c>
      <c r="Q91" s="60"/>
      <c r="R91" s="62">
        <f>IF(SUM(D91:Q91)=0,"",SUM(D91:Q91))</f>
        <v>0.38194444444444442</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SUMIFS(Journal!$D$6:$D$9995,Journal!$B$6:$B$9995,D$5,Journal!$C$6:$C$9995,$B92)</f>
        <v>3.125E-2</v>
      </c>
      <c r="E93" s="60"/>
      <c r="F93" s="59">
        <f>SUMIFS(Journal!$D$6:$D$9995,Journal!$B$6:$B$9995,F$5,Journal!$C$6:$C$9995,$B92)</f>
        <v>3.125E-2</v>
      </c>
      <c r="G93" s="60"/>
      <c r="H93" s="59">
        <f>SUMIFS(Journal!$D$6:$D$9995,Journal!$B$6:$B$9995,H$5,Journal!$C$6:$C$9995,$B92)</f>
        <v>3.125E-2</v>
      </c>
      <c r="I93" s="61"/>
      <c r="J93" s="59">
        <f>SUMIFS(Journal!$D$6:$D$9995,Journal!$B$6:$B$9995,J$5,Journal!$C$6:$C$9995,$B92)</f>
        <v>0</v>
      </c>
      <c r="K93" s="61"/>
      <c r="L93" s="59">
        <f>SUMIFS(Journal!$D$6:$D$9995,Journal!$B$6:$B$9995,L$5,Journal!$C$6:$C$9995,$B92)</f>
        <v>0</v>
      </c>
      <c r="M93" s="60"/>
      <c r="N93" s="59">
        <f>SUMIFS(Journal!$D$6:$D$9995,Journal!$B$6:$B$9995,N$5,Journal!$C$6:$C$9995,$B92)</f>
        <v>0</v>
      </c>
      <c r="O93" s="60"/>
      <c r="P93" s="59">
        <f>SUMIFS(Journal!$D$6:$D$9995,Journal!$B$6:$B$9995,P$5,Journal!$C$6:$C$9995,$B92)</f>
        <v>0</v>
      </c>
      <c r="Q93" s="60"/>
      <c r="R93" s="62">
        <f t="shared" ref="R93:R101" si="72">IF(SUM(D93:Q93)=0,"",SUM(D93:Q93))</f>
        <v>9.375E-2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SUMIFS(Journal!$D$6:$D$9995,Journal!$B$6:$B$9995,D$5,Journal!$C$6:$C$9995,$B94)</f>
        <v>0</v>
      </c>
      <c r="E95" s="60"/>
      <c r="F95" s="59">
        <f>SUMIFS(Journal!$D$6:$D$9995,Journal!$B$6:$B$9995,F$5,Journal!$C$6:$C$9995,$B94)</f>
        <v>0</v>
      </c>
      <c r="G95" s="60"/>
      <c r="H95" s="59">
        <f>SUMIFS(Journal!$D$6:$D$9995,Journal!$B$6:$B$9995,H$5,Journal!$C$6:$C$9995,$B94)</f>
        <v>0</v>
      </c>
      <c r="I95" s="61"/>
      <c r="J95" s="59">
        <f>SUMIFS(Journal!$D$6:$D$9995,Journal!$B$6:$B$9995,J$5,Journal!$C$6:$C$9995,$B94)</f>
        <v>0</v>
      </c>
      <c r="K95" s="61"/>
      <c r="L95" s="59">
        <f>SUMIFS(Journal!$D$6:$D$9995,Journal!$B$6:$B$9995,L$5,Journal!$C$6:$C$9995,$B94)</f>
        <v>0</v>
      </c>
      <c r="M95" s="60"/>
      <c r="N95" s="59">
        <f>SUMIFS(Journal!$D$6:$D$9995,Journal!$B$6:$B$9995,N$5,Journal!$C$6:$C$9995,$B94)</f>
        <v>0</v>
      </c>
      <c r="O95" s="60"/>
      <c r="P95" s="59">
        <f>SUMIFS(Journal!$D$6:$D$9995,Journal!$B$6:$B$9995,P$5,Journal!$C$6:$C$9995,$B94)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SUMIFS(Journal!$D$6:$D$9995,Journal!$B$6:$B$9995,D$5,Journal!$C$6:$C$9995,$B96)</f>
        <v>0</v>
      </c>
      <c r="E97" s="60"/>
      <c r="F97" s="59">
        <f>SUMIFS(Journal!$D$6:$D$9995,Journal!$B$6:$B$9995,F$5,Journal!$C$6:$C$9995,$B96)</f>
        <v>0</v>
      </c>
      <c r="G97" s="60"/>
      <c r="H97" s="59">
        <f>SUMIFS(Journal!$D$6:$D$9995,Journal!$B$6:$B$9995,H$5,Journal!$C$6:$C$9995,$B96)</f>
        <v>0</v>
      </c>
      <c r="I97" s="61"/>
      <c r="J97" s="59">
        <f>SUMIFS(Journal!$D$6:$D$9995,Journal!$B$6:$B$9995,J$5,Journal!$C$6:$C$9995,$B96)</f>
        <v>0</v>
      </c>
      <c r="K97" s="61"/>
      <c r="L97" s="59">
        <f>SUMIFS(Journal!$D$6:$D$9995,Journal!$B$6:$B$9995,L$5,Journal!$C$6:$C$9995,$B96)</f>
        <v>0</v>
      </c>
      <c r="M97" s="60"/>
      <c r="N97" s="59">
        <f>SUMIFS(Journal!$D$6:$D$9995,Journal!$B$6:$B$9995,N$5,Journal!$C$6:$C$9995,$B96)</f>
        <v>0</v>
      </c>
      <c r="O97" s="60"/>
      <c r="P97" s="59">
        <f>SUMIFS(Journal!$D$6:$D$9995,Journal!$B$6:$B$9995,P$5,Journal!$C$6:$C$9995,$B96)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SUMIFS(Journal!$D$6:$D$9995,Journal!$B$6:$B$9995,D$5,Journal!$C$6:$C$9995,$B98)</f>
        <v>8.3333333333333329E-2</v>
      </c>
      <c r="E99" s="60"/>
      <c r="F99" s="59">
        <f>SUMIFS(Journal!$D$6:$D$9995,Journal!$B$6:$B$9995,F$5,Journal!$C$6:$C$9995,$B98)</f>
        <v>4.1666666666666664E-2</v>
      </c>
      <c r="G99" s="60"/>
      <c r="H99" s="59">
        <f>SUMIFS(Journal!$D$6:$D$9995,Journal!$B$6:$B$9995,H$5,Journal!$C$6:$C$9995,$B98)</f>
        <v>0</v>
      </c>
      <c r="I99" s="61"/>
      <c r="J99" s="59">
        <f>SUMIFS(Journal!$D$6:$D$9995,Journal!$B$6:$B$9995,J$5,Journal!$C$6:$C$9995,$B98)</f>
        <v>0.23263888888888887</v>
      </c>
      <c r="K99" s="61"/>
      <c r="L99" s="59">
        <f>SUMIFS(Journal!$D$6:$D$9995,Journal!$B$6:$B$9995,L$5,Journal!$C$6:$C$9995,$B98)</f>
        <v>0</v>
      </c>
      <c r="M99" s="60"/>
      <c r="N99" s="59">
        <f>SUMIFS(Journal!$D$6:$D$9995,Journal!$B$6:$B$9995,N$5,Journal!$C$6:$C$9995,$B98)</f>
        <v>0</v>
      </c>
      <c r="O99" s="60"/>
      <c r="P99" s="59">
        <f>SUMIFS(Journal!$D$6:$D$9995,Journal!$B$6:$B$9995,P$5,Journal!$C$6:$C$9995,$B98)</f>
        <v>0</v>
      </c>
      <c r="Q99" s="60"/>
      <c r="R99" s="62">
        <f t="shared" si="72"/>
        <v>0.35763888888888884</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SUMIFS(Journal!$D$5:$D$9995,Journal!$B$5:$B$9995,D$5,Journal!$C$5:$C$9995,$B100)</f>
        <v>0</v>
      </c>
      <c r="E101" s="60"/>
      <c r="F101" s="59">
        <f>SUMIFS(Journal!$D$6:$D$9995,Journal!$B$6:$B$9995,F$5,Journal!$C$6:$C$9995,$B100)</f>
        <v>8.3333333333333329E-2</v>
      </c>
      <c r="G101" s="60"/>
      <c r="H101" s="59">
        <f>SUMIFS(Journal!$D$6:$D$9995,Journal!$B$6:$B$9995,H$5,Journal!$C$6:$C$9995,$B100)</f>
        <v>0</v>
      </c>
      <c r="I101" s="61"/>
      <c r="J101" s="59">
        <f>SUMIFS(Journal!$D$6:$D$9995,Journal!$B$6:$B$9995,J$5,Journal!$C$6:$C$9995,$B100)</f>
        <v>0</v>
      </c>
      <c r="K101" s="61"/>
      <c r="L101" s="59">
        <f>SUMIFS(Journal!$D$6:$D$9995,Journal!$B$6:$B$9995,L$5,Journal!$C$6:$C$9995,$B100)</f>
        <v>0</v>
      </c>
      <c r="M101" s="60"/>
      <c r="N101" s="59">
        <f>SUMIFS(Journal!$D$6:$D$9995,Journal!$B$6:$B$9995,N$5,Journal!$C$6:$C$9995,$B100)</f>
        <v>0</v>
      </c>
      <c r="O101" s="60"/>
      <c r="P101" s="59">
        <f>SUMIFS(Journal!$D$6:$D$9995,Journal!$B$6:$B$9995,P$5,Journal!$C$6:$C$9995,$B100)</f>
        <v>0</v>
      </c>
      <c r="Q101" s="60"/>
      <c r="R101" s="62">
        <f t="shared" si="72"/>
        <v>8.3333333333333329E-2</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5"/>
  <sheetViews>
    <sheetView tabSelected="1" workbookViewId="0">
      <pane ySplit="3" topLeftCell="A46" activePane="bottomLeft" state="frozen"/>
      <selection pane="bottomLeft" activeCell="E65" sqref="E65"/>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45070</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4"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v>45056</v>
      </c>
      <c r="B35" s="100">
        <f t="shared" si="0"/>
        <v>19</v>
      </c>
      <c r="C35" s="101" t="s">
        <v>33</v>
      </c>
      <c r="D35" s="102">
        <v>8.3333333333333329E-2</v>
      </c>
      <c r="E35" s="103" t="s">
        <v>108</v>
      </c>
    </row>
    <row r="36" spans="1:5" x14ac:dyDescent="0.2">
      <c r="A36" s="99">
        <v>45056</v>
      </c>
      <c r="B36" s="100">
        <f t="shared" si="0"/>
        <v>19</v>
      </c>
      <c r="C36" s="101" t="s">
        <v>29</v>
      </c>
      <c r="D36" s="102">
        <v>4.1666666666666664E-2</v>
      </c>
      <c r="E36" s="103" t="s">
        <v>109</v>
      </c>
    </row>
    <row r="37" spans="1:5" x14ac:dyDescent="0.2">
      <c r="A37" s="99">
        <v>45056</v>
      </c>
      <c r="B37" s="100">
        <f t="shared" si="0"/>
        <v>19</v>
      </c>
      <c r="C37" s="101" t="s">
        <v>35</v>
      </c>
      <c r="D37" s="102">
        <v>4.1666666666666664E-2</v>
      </c>
      <c r="E37" s="103" t="s">
        <v>110</v>
      </c>
    </row>
    <row r="38" spans="1:5" x14ac:dyDescent="0.2">
      <c r="A38" s="99">
        <v>45057</v>
      </c>
      <c r="B38" s="100">
        <f t="shared" si="0"/>
        <v>19</v>
      </c>
      <c r="C38" s="101" t="s">
        <v>55</v>
      </c>
      <c r="D38" s="102">
        <v>8.3333333333333329E-2</v>
      </c>
      <c r="E38" s="103" t="s">
        <v>108</v>
      </c>
    </row>
    <row r="39" spans="1:5" x14ac:dyDescent="0.2">
      <c r="A39" s="99">
        <v>45057</v>
      </c>
      <c r="B39" s="100">
        <f t="shared" si="0"/>
        <v>19</v>
      </c>
      <c r="C39" s="101" t="s">
        <v>29</v>
      </c>
      <c r="D39" s="102">
        <v>4.1666666666666664E-2</v>
      </c>
      <c r="E39" s="103" t="s">
        <v>109</v>
      </c>
    </row>
    <row r="40" spans="1:5" x14ac:dyDescent="0.2">
      <c r="A40" s="99">
        <v>45057</v>
      </c>
      <c r="B40" s="100">
        <f t="shared" si="0"/>
        <v>19</v>
      </c>
      <c r="C40" s="101" t="s">
        <v>56</v>
      </c>
      <c r="D40" s="102">
        <v>4.1666666666666664E-2</v>
      </c>
      <c r="E40" s="103" t="s">
        <v>110</v>
      </c>
    </row>
    <row r="41" spans="1:5" ht="45" x14ac:dyDescent="0.2">
      <c r="A41" s="99">
        <v>45057</v>
      </c>
      <c r="B41" s="100">
        <f t="shared" si="0"/>
        <v>19</v>
      </c>
      <c r="C41" s="101" t="s">
        <v>67</v>
      </c>
      <c r="D41" s="102">
        <v>4.1666666666666664E-2</v>
      </c>
      <c r="E41" s="103" t="s">
        <v>106</v>
      </c>
    </row>
    <row r="42" spans="1:5" ht="56.25" x14ac:dyDescent="0.2">
      <c r="A42" s="99">
        <v>45057</v>
      </c>
      <c r="B42" s="100">
        <f t="shared" si="0"/>
        <v>19</v>
      </c>
      <c r="C42" s="101" t="s">
        <v>67</v>
      </c>
      <c r="D42" s="102">
        <v>4.1666666666666664E-2</v>
      </c>
      <c r="E42" s="103" t="s">
        <v>107</v>
      </c>
    </row>
    <row r="43" spans="1:5" x14ac:dyDescent="0.2">
      <c r="A43" s="99">
        <v>45057</v>
      </c>
      <c r="B43" s="100">
        <f t="shared" si="0"/>
        <v>19</v>
      </c>
      <c r="C43" s="101" t="s">
        <v>31</v>
      </c>
      <c r="D43" s="102">
        <v>2.4305555555555556E-2</v>
      </c>
      <c r="E43" s="103" t="s">
        <v>102</v>
      </c>
    </row>
    <row r="44" spans="1:5" x14ac:dyDescent="0.2">
      <c r="A44" s="99">
        <v>45057</v>
      </c>
      <c r="B44" s="100">
        <f t="shared" si="0"/>
        <v>19</v>
      </c>
      <c r="C44" s="101" t="s">
        <v>25</v>
      </c>
      <c r="D44" s="102">
        <v>2.4305555555555556E-2</v>
      </c>
      <c r="E44" s="103" t="s">
        <v>105</v>
      </c>
    </row>
    <row r="45" spans="1:5" x14ac:dyDescent="0.2">
      <c r="A45" s="99">
        <v>45061</v>
      </c>
      <c r="B45" s="100">
        <f t="shared" si="0"/>
        <v>20</v>
      </c>
      <c r="C45" s="101" t="s">
        <v>44</v>
      </c>
      <c r="D45" s="102">
        <v>6.25E-2</v>
      </c>
      <c r="E45" s="103"/>
    </row>
    <row r="46" spans="1:5" x14ac:dyDescent="0.2">
      <c r="A46" s="99">
        <v>45061</v>
      </c>
      <c r="B46" s="100">
        <f t="shared" si="0"/>
        <v>20</v>
      </c>
      <c r="C46" s="101" t="s">
        <v>45</v>
      </c>
      <c r="D46" s="102">
        <v>6.25E-2</v>
      </c>
      <c r="E46" s="103"/>
    </row>
    <row r="47" spans="1:5" x14ac:dyDescent="0.2">
      <c r="A47" s="99">
        <v>45061</v>
      </c>
      <c r="B47" s="100">
        <f t="shared" si="0"/>
        <v>20</v>
      </c>
      <c r="C47" s="101" t="s">
        <v>26</v>
      </c>
      <c r="D47" s="102">
        <v>4.1666666666666664E-2</v>
      </c>
      <c r="E47" s="103"/>
    </row>
    <row r="48" spans="1:5" x14ac:dyDescent="0.2">
      <c r="A48" s="99">
        <v>45061</v>
      </c>
      <c r="B48" s="100">
        <f t="shared" si="0"/>
        <v>20</v>
      </c>
      <c r="C48" s="101" t="s">
        <v>66</v>
      </c>
      <c r="D48" s="102">
        <v>6.25E-2</v>
      </c>
      <c r="E48" s="103"/>
    </row>
    <row r="49" spans="1:5" x14ac:dyDescent="0.2">
      <c r="A49" s="99">
        <v>45062</v>
      </c>
      <c r="B49" s="100">
        <f t="shared" si="0"/>
        <v>20</v>
      </c>
      <c r="C49" s="101" t="s">
        <v>27</v>
      </c>
      <c r="D49" s="102">
        <v>4.1666666666666664E-2</v>
      </c>
      <c r="E49" s="103"/>
    </row>
    <row r="50" spans="1:5" x14ac:dyDescent="0.2">
      <c r="A50" s="99">
        <v>45062</v>
      </c>
      <c r="B50" s="100">
        <f t="shared" si="0"/>
        <v>20</v>
      </c>
      <c r="C50" s="101" t="s">
        <v>26</v>
      </c>
      <c r="D50" s="102">
        <v>4.1666666666666664E-2</v>
      </c>
      <c r="E50" s="103"/>
    </row>
    <row r="51" spans="1:5" x14ac:dyDescent="0.2">
      <c r="A51" s="99">
        <v>45062</v>
      </c>
      <c r="B51" s="100">
        <f t="shared" si="0"/>
        <v>20</v>
      </c>
      <c r="C51" s="101" t="s">
        <v>66</v>
      </c>
      <c r="D51" s="102">
        <v>0.10416666666666667</v>
      </c>
      <c r="E51" s="103"/>
    </row>
    <row r="52" spans="1:5" ht="22.5" x14ac:dyDescent="0.2">
      <c r="A52" s="99">
        <v>45062</v>
      </c>
      <c r="B52" s="100">
        <f t="shared" si="0"/>
        <v>20</v>
      </c>
      <c r="C52" s="101" t="s">
        <v>38</v>
      </c>
      <c r="D52" s="102">
        <v>4.1666666666666664E-2</v>
      </c>
      <c r="E52" s="103" t="s">
        <v>112</v>
      </c>
    </row>
    <row r="53" spans="1:5" x14ac:dyDescent="0.2">
      <c r="A53" s="99">
        <v>45062</v>
      </c>
      <c r="B53" s="100">
        <f t="shared" si="0"/>
        <v>20</v>
      </c>
      <c r="C53" s="101" t="s">
        <v>30</v>
      </c>
      <c r="D53" s="102">
        <v>4.1666666666666664E-2</v>
      </c>
      <c r="E53" s="103" t="s">
        <v>111</v>
      </c>
    </row>
    <row r="54" spans="1:5" x14ac:dyDescent="0.2">
      <c r="A54" s="99">
        <v>45062</v>
      </c>
      <c r="B54" s="100">
        <f t="shared" si="0"/>
        <v>20</v>
      </c>
      <c r="C54" s="101" t="s">
        <v>31</v>
      </c>
      <c r="D54" s="102">
        <v>3.125E-2</v>
      </c>
      <c r="E54" s="103" t="s">
        <v>102</v>
      </c>
    </row>
    <row r="55" spans="1:5" x14ac:dyDescent="0.2">
      <c r="A55" s="121">
        <v>45068</v>
      </c>
      <c r="B55" s="122">
        <f t="shared" si="0"/>
        <v>21</v>
      </c>
      <c r="C55" s="123" t="s">
        <v>70</v>
      </c>
      <c r="D55" s="124">
        <v>0.23263888888888887</v>
      </c>
      <c r="E55" s="125" t="s">
        <v>113</v>
      </c>
    </row>
    <row r="56" spans="1:5" x14ac:dyDescent="0.2">
      <c r="A56" s="99">
        <v>45069</v>
      </c>
      <c r="B56" s="100">
        <f t="shared" si="0"/>
        <v>21</v>
      </c>
      <c r="C56" s="101" t="s">
        <v>37</v>
      </c>
      <c r="D56" s="102">
        <v>4.1666666666666664E-2</v>
      </c>
      <c r="E56" s="103" t="s">
        <v>116</v>
      </c>
    </row>
    <row r="57" spans="1:5" x14ac:dyDescent="0.2">
      <c r="A57" s="99">
        <v>45069</v>
      </c>
      <c r="B57" s="100">
        <f t="shared" si="0"/>
        <v>21</v>
      </c>
      <c r="C57" s="101" t="s">
        <v>39</v>
      </c>
      <c r="D57" s="102">
        <v>4.1666666666666664E-2</v>
      </c>
      <c r="E57" s="103" t="s">
        <v>117</v>
      </c>
    </row>
    <row r="58" spans="1:5" x14ac:dyDescent="0.2">
      <c r="A58" s="99">
        <v>45069</v>
      </c>
      <c r="B58" s="100">
        <f t="shared" si="0"/>
        <v>21</v>
      </c>
      <c r="C58" s="101" t="s">
        <v>46</v>
      </c>
      <c r="D58" s="102">
        <v>2.0833333333333332E-2</v>
      </c>
      <c r="E58" s="103" t="s">
        <v>118</v>
      </c>
    </row>
    <row r="59" spans="1:5" ht="56.25" x14ac:dyDescent="0.2">
      <c r="A59" s="99">
        <v>45069</v>
      </c>
      <c r="B59" s="100">
        <f t="shared" si="0"/>
        <v>21</v>
      </c>
      <c r="C59" s="101" t="s">
        <v>47</v>
      </c>
      <c r="D59" s="102">
        <v>4.1666666666666664E-2</v>
      </c>
      <c r="E59" s="103" t="s">
        <v>119</v>
      </c>
    </row>
    <row r="60" spans="1:5" x14ac:dyDescent="0.2">
      <c r="A60" s="99">
        <v>45069</v>
      </c>
      <c r="B60" s="100">
        <f t="shared" si="0"/>
        <v>21</v>
      </c>
      <c r="C60" s="101" t="s">
        <v>26</v>
      </c>
      <c r="D60" s="102">
        <v>4.1666666666666664E-2</v>
      </c>
      <c r="E60" s="103" t="s">
        <v>114</v>
      </c>
    </row>
    <row r="61" spans="1:5" x14ac:dyDescent="0.2">
      <c r="A61" s="99">
        <v>45069</v>
      </c>
      <c r="B61" s="100">
        <f t="shared" si="0"/>
        <v>21</v>
      </c>
      <c r="C61" s="101" t="s">
        <v>26</v>
      </c>
      <c r="D61" s="102">
        <v>4.1666666666666664E-2</v>
      </c>
      <c r="E61" s="103" t="s">
        <v>115</v>
      </c>
    </row>
    <row r="62" spans="1:5" ht="33.75" x14ac:dyDescent="0.2">
      <c r="A62" s="99">
        <v>45069</v>
      </c>
      <c r="B62" s="100">
        <f t="shared" si="0"/>
        <v>21</v>
      </c>
      <c r="C62" s="101" t="s">
        <v>30</v>
      </c>
      <c r="D62" s="102">
        <v>6.9444444444444434E-2</v>
      </c>
      <c r="E62" s="103" t="s">
        <v>120</v>
      </c>
    </row>
    <row r="63" spans="1:5" ht="22.5" x14ac:dyDescent="0.2">
      <c r="A63" s="99">
        <v>45070</v>
      </c>
      <c r="B63" s="100">
        <f t="shared" si="0"/>
        <v>21</v>
      </c>
      <c r="C63" s="101" t="s">
        <v>66</v>
      </c>
      <c r="D63" s="102">
        <v>4.1666666666666664E-2</v>
      </c>
      <c r="E63" s="103" t="s">
        <v>121</v>
      </c>
    </row>
    <row r="64" spans="1:5" ht="22.5" x14ac:dyDescent="0.2">
      <c r="A64" s="99">
        <v>45070</v>
      </c>
      <c r="B64" s="100">
        <f t="shared" si="0"/>
        <v>21</v>
      </c>
      <c r="C64" s="101" t="s">
        <v>30</v>
      </c>
      <c r="D64" s="102">
        <v>0.125</v>
      </c>
      <c r="E64" s="103" t="s">
        <v>122</v>
      </c>
    </row>
    <row r="65" spans="1:5" x14ac:dyDescent="0.2">
      <c r="A65" s="99"/>
      <c r="B65" s="100">
        <f t="shared" ref="B65:B128" si="4">WEEKNUM(A65,1)</f>
        <v>0</v>
      </c>
      <c r="C65" s="101"/>
      <c r="D65" s="102"/>
      <c r="E65" s="103"/>
    </row>
    <row r="66" spans="1:5" x14ac:dyDescent="0.2">
      <c r="A66" s="99"/>
      <c r="B66" s="100">
        <f t="shared" si="4"/>
        <v>0</v>
      </c>
      <c r="C66" s="101"/>
      <c r="D66" s="102"/>
      <c r="E66" s="103"/>
    </row>
    <row r="67" spans="1:5" x14ac:dyDescent="0.2">
      <c r="A67" s="99"/>
      <c r="B67" s="100">
        <f t="shared" si="4"/>
        <v>0</v>
      </c>
      <c r="C67" s="101"/>
      <c r="D67" s="102"/>
      <c r="E67" s="103"/>
    </row>
    <row r="68" spans="1:5" x14ac:dyDescent="0.2">
      <c r="A68" s="99"/>
      <c r="B68" s="100">
        <f t="shared" si="4"/>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ref="B129:B192" si="5">WEEKNUM(A129,1)</f>
        <v>0</v>
      </c>
      <c r="C129" s="101"/>
      <c r="D129" s="102"/>
      <c r="E129" s="103"/>
    </row>
    <row r="130" spans="1:5" x14ac:dyDescent="0.2">
      <c r="A130" s="99"/>
      <c r="B130" s="100">
        <f t="shared" si="5"/>
        <v>0</v>
      </c>
      <c r="C130" s="101"/>
      <c r="D130" s="102"/>
      <c r="E130" s="103"/>
    </row>
    <row r="131" spans="1:5" x14ac:dyDescent="0.2">
      <c r="A131" s="99"/>
      <c r="B131" s="100">
        <f t="shared" si="5"/>
        <v>0</v>
      </c>
      <c r="C131" s="101"/>
      <c r="D131" s="102"/>
      <c r="E131" s="103"/>
    </row>
    <row r="132" spans="1:5" x14ac:dyDescent="0.2">
      <c r="A132" s="99"/>
      <c r="B132" s="100">
        <f t="shared" si="5"/>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ref="B193:B256" si="6">WEEKNUM(A193,1)</f>
        <v>0</v>
      </c>
      <c r="C193" s="101"/>
      <c r="D193" s="102"/>
      <c r="E193" s="103"/>
    </row>
    <row r="194" spans="1:5" x14ac:dyDescent="0.2">
      <c r="A194" s="99"/>
      <c r="B194" s="100">
        <f t="shared" si="6"/>
        <v>0</v>
      </c>
      <c r="C194" s="101"/>
      <c r="D194" s="102"/>
      <c r="E194" s="103"/>
    </row>
    <row r="195" spans="1:5" x14ac:dyDescent="0.2">
      <c r="A195" s="99"/>
      <c r="B195" s="100">
        <f t="shared" si="6"/>
        <v>0</v>
      </c>
      <c r="C195" s="101"/>
      <c r="D195" s="102"/>
      <c r="E195" s="103"/>
    </row>
    <row r="196" spans="1:5" x14ac:dyDescent="0.2">
      <c r="A196" s="99"/>
      <c r="B196" s="100">
        <f t="shared" si="6"/>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ref="B257:B320" si="7">WEEKNUM(A257,1)</f>
        <v>0</v>
      </c>
      <c r="C257" s="101"/>
      <c r="D257" s="102"/>
      <c r="E257" s="103"/>
    </row>
    <row r="258" spans="1:5" x14ac:dyDescent="0.2">
      <c r="A258" s="99"/>
      <c r="B258" s="100">
        <f t="shared" si="7"/>
        <v>0</v>
      </c>
      <c r="C258" s="101"/>
      <c r="D258" s="102"/>
      <c r="E258" s="103"/>
    </row>
    <row r="259" spans="1:5" x14ac:dyDescent="0.2">
      <c r="A259" s="99"/>
      <c r="B259" s="100">
        <f t="shared" si="7"/>
        <v>0</v>
      </c>
      <c r="C259" s="101"/>
      <c r="D259" s="102"/>
      <c r="E259" s="103"/>
    </row>
    <row r="260" spans="1:5" x14ac:dyDescent="0.2">
      <c r="A260" s="99"/>
      <c r="B260" s="100">
        <f t="shared" si="7"/>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ref="B321:B384" si="8">WEEKNUM(A321,1)</f>
        <v>0</v>
      </c>
      <c r="C321" s="101"/>
      <c r="D321" s="102"/>
      <c r="E321" s="103"/>
    </row>
    <row r="322" spans="1:5" x14ac:dyDescent="0.2">
      <c r="A322" s="99"/>
      <c r="B322" s="100">
        <f t="shared" si="8"/>
        <v>0</v>
      </c>
      <c r="C322" s="101"/>
      <c r="D322" s="102"/>
      <c r="E322" s="103"/>
    </row>
    <row r="323" spans="1:5" x14ac:dyDescent="0.2">
      <c r="A323" s="99"/>
      <c r="B323" s="100">
        <f t="shared" si="8"/>
        <v>0</v>
      </c>
      <c r="C323" s="101"/>
      <c r="D323" s="102"/>
      <c r="E323" s="103"/>
    </row>
    <row r="324" spans="1:5" x14ac:dyDescent="0.2">
      <c r="A324" s="99"/>
      <c r="B324" s="100">
        <f t="shared" si="8"/>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ref="B385:B448" si="9">WEEKNUM(A385,1)</f>
        <v>0</v>
      </c>
      <c r="C385" s="101"/>
      <c r="D385" s="102"/>
      <c r="E385" s="103"/>
    </row>
    <row r="386" spans="1:5" x14ac:dyDescent="0.2">
      <c r="A386" s="99"/>
      <c r="B386" s="100">
        <f t="shared" si="9"/>
        <v>0</v>
      </c>
      <c r="C386" s="101"/>
      <c r="D386" s="102"/>
      <c r="E386" s="103"/>
    </row>
    <row r="387" spans="1:5" x14ac:dyDescent="0.2">
      <c r="A387" s="99"/>
      <c r="B387" s="100">
        <f t="shared" si="9"/>
        <v>0</v>
      </c>
      <c r="C387" s="101"/>
      <c r="D387" s="102"/>
      <c r="E387" s="103"/>
    </row>
    <row r="388" spans="1:5" x14ac:dyDescent="0.2">
      <c r="A388" s="99"/>
      <c r="B388" s="100">
        <f t="shared" si="9"/>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ref="B449:B512" si="10">WEEKNUM(A449,1)</f>
        <v>0</v>
      </c>
      <c r="C449" s="101"/>
      <c r="D449" s="102"/>
      <c r="E449" s="103"/>
    </row>
    <row r="450" spans="1:5" x14ac:dyDescent="0.2">
      <c r="A450" s="99"/>
      <c r="B450" s="100">
        <f t="shared" si="10"/>
        <v>0</v>
      </c>
      <c r="C450" s="101"/>
      <c r="D450" s="102"/>
      <c r="E450" s="103"/>
    </row>
    <row r="451" spans="1:5" x14ac:dyDescent="0.2">
      <c r="A451" s="99"/>
      <c r="B451" s="100">
        <f t="shared" si="10"/>
        <v>0</v>
      </c>
      <c r="C451" s="101"/>
      <c r="D451" s="102"/>
      <c r="E451" s="103"/>
    </row>
    <row r="452" spans="1:5" x14ac:dyDescent="0.2">
      <c r="A452" s="99"/>
      <c r="B452" s="100">
        <f t="shared" si="10"/>
        <v>0</v>
      </c>
      <c r="C452" s="101"/>
      <c r="D452" s="102"/>
      <c r="E452" s="103"/>
    </row>
    <row r="453" spans="1:5" x14ac:dyDescent="0.2">
      <c r="A453" s="99"/>
      <c r="B453" s="100">
        <f t="shared" si="10"/>
        <v>0</v>
      </c>
      <c r="C453" s="101"/>
      <c r="D453" s="102"/>
      <c r="E453" s="103"/>
    </row>
    <row r="454" spans="1:5" x14ac:dyDescent="0.2">
      <c r="A454" s="94"/>
      <c r="B454" s="95">
        <f t="shared" si="10"/>
        <v>0</v>
      </c>
      <c r="C454" s="101"/>
      <c r="D454" s="97"/>
      <c r="E454" s="103"/>
    </row>
    <row r="455" spans="1:5" x14ac:dyDescent="0.2">
      <c r="A455" s="94"/>
      <c r="B455" s="95">
        <f t="shared" si="10"/>
        <v>0</v>
      </c>
      <c r="C455" s="101"/>
      <c r="D455" s="97"/>
      <c r="E455" s="103"/>
    </row>
    <row r="456" spans="1:5" x14ac:dyDescent="0.2">
      <c r="A456" s="94"/>
      <c r="B456" s="95">
        <f t="shared" si="10"/>
        <v>0</v>
      </c>
      <c r="C456" s="101"/>
      <c r="D456" s="97"/>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ref="B513:B576" si="11">WEEKNUM(A513,1)</f>
        <v>0</v>
      </c>
      <c r="C513" s="101"/>
      <c r="D513" s="97"/>
      <c r="E513" s="103"/>
    </row>
    <row r="514" spans="1:5" x14ac:dyDescent="0.2">
      <c r="A514" s="94"/>
      <c r="B514" s="95">
        <f t="shared" si="11"/>
        <v>0</v>
      </c>
      <c r="C514" s="101"/>
      <c r="D514" s="97"/>
      <c r="E514" s="103"/>
    </row>
    <row r="515" spans="1:5" x14ac:dyDescent="0.2">
      <c r="A515" s="94"/>
      <c r="B515" s="95">
        <f t="shared" si="11"/>
        <v>0</v>
      </c>
      <c r="C515" s="101"/>
      <c r="D515" s="97"/>
      <c r="E515" s="103"/>
    </row>
    <row r="516" spans="1:5" x14ac:dyDescent="0.2">
      <c r="A516" s="94"/>
      <c r="B516" s="95">
        <f t="shared" si="11"/>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ref="B577:B640" si="12">WEEKNUM(A577,1)</f>
        <v>0</v>
      </c>
      <c r="C577" s="101"/>
      <c r="D577" s="97"/>
      <c r="E577" s="103"/>
    </row>
    <row r="578" spans="1:5" x14ac:dyDescent="0.2">
      <c r="A578" s="94"/>
      <c r="B578" s="95">
        <f t="shared" si="12"/>
        <v>0</v>
      </c>
      <c r="C578" s="101"/>
      <c r="D578" s="97"/>
      <c r="E578" s="103"/>
    </row>
    <row r="579" spans="1:5" x14ac:dyDescent="0.2">
      <c r="A579" s="94"/>
      <c r="B579" s="95">
        <f t="shared" si="12"/>
        <v>0</v>
      </c>
      <c r="C579" s="101"/>
      <c r="D579" s="97"/>
      <c r="E579" s="103"/>
    </row>
    <row r="580" spans="1:5" x14ac:dyDescent="0.2">
      <c r="A580" s="94"/>
      <c r="B580" s="95">
        <f t="shared" si="12"/>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ref="B641:B704" si="13">WEEKNUM(A641,1)</f>
        <v>0</v>
      </c>
      <c r="C641" s="101"/>
      <c r="D641" s="97"/>
      <c r="E641" s="103"/>
    </row>
    <row r="642" spans="1:5" x14ac:dyDescent="0.2">
      <c r="A642" s="94"/>
      <c r="B642" s="95">
        <f t="shared" si="13"/>
        <v>0</v>
      </c>
      <c r="C642" s="101"/>
      <c r="D642" s="97"/>
      <c r="E642" s="103"/>
    </row>
    <row r="643" spans="1:5" x14ac:dyDescent="0.2">
      <c r="A643" s="94"/>
      <c r="B643" s="95">
        <f t="shared" si="13"/>
        <v>0</v>
      </c>
      <c r="C643" s="101"/>
      <c r="D643" s="97"/>
      <c r="E643" s="103"/>
    </row>
    <row r="644" spans="1:5" x14ac:dyDescent="0.2">
      <c r="A644" s="94"/>
      <c r="B644" s="95">
        <f t="shared" si="13"/>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ref="B705:B755" si="14">WEEKNUM(A705,1)</f>
        <v>0</v>
      </c>
      <c r="C705" s="101"/>
      <c r="D705" s="97"/>
      <c r="E705" s="103"/>
    </row>
    <row r="706" spans="1:5" x14ac:dyDescent="0.2">
      <c r="A706" s="94"/>
      <c r="B706" s="95">
        <f t="shared" si="14"/>
        <v>0</v>
      </c>
      <c r="C706" s="101"/>
      <c r="D706" s="97"/>
      <c r="E706" s="103"/>
    </row>
    <row r="707" spans="1:5" x14ac:dyDescent="0.2">
      <c r="A707" s="94"/>
      <c r="B707" s="95">
        <f t="shared" si="14"/>
        <v>0</v>
      </c>
      <c r="C707" s="101"/>
      <c r="D707" s="97"/>
      <c r="E707" s="103"/>
    </row>
    <row r="708" spans="1:5" x14ac:dyDescent="0.2">
      <c r="A708" s="94"/>
      <c r="B708" s="95">
        <f t="shared" si="14"/>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6" sqref="G16"/>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6" t="s">
        <v>92</v>
      </c>
      <c r="E11" s="126"/>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2023-05-24T11:00:23Z</dcterms:modified>
</cp:coreProperties>
</file>