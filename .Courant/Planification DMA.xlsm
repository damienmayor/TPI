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2"/>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B71" i="6"/>
  <c r="B52" i="6"/>
  <c r="B40" i="6"/>
  <c r="B59" i="6"/>
  <c r="B46" i="6"/>
  <c r="B22" i="6"/>
  <c r="P77" i="1" s="1"/>
  <c r="B28" i="6"/>
  <c r="B65" i="6"/>
  <c r="B89" i="6"/>
  <c r="B95" i="6"/>
  <c r="B83"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<sst xmlns="http://schemas.openxmlformats.org/spreadsheetml/2006/main" count="126" uniqueCount="101">
  <si>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</si>
  <si>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</si>
  <si>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</si>
  <si>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</si>
  <si>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</si>
  <si>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</si>
  <si>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</si>
  <si>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</si>
  <si>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</si>
  <si>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</si>
  <si>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</si>
  <si>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</si>
  <si>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</si>
  <si>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</si>
  <si>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</si>
  <si>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</si>
  <si>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</si>
  <si>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</si>
  <si>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</si>
  <si>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</si>
  <si>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</si>
  <si>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</si>
  <si>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</si>
  <si>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</si>
  <si>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</si>
  <si>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</si>
  <si>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</si>
  <si>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</si>
  <si>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</si>
  <si>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</si>
  <si>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</si>
  <si>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</si>
  <si>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</si>
  <si>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</si>
  <si>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</si>
  <si>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</si>
  <si>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</si>
  <si>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</si>
  <si>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</si>
  <si>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</si>
  <si>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</si>
  <si>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</si>
  <si>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</si>
  <si>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</si>
  <si>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</si>
  <si>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</si>
  <si>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</si>
  <si>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</si>
  <si>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</si>
  <si>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</si>
  <si>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</si>
  <si>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</si>
  <si>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</si>
  <si>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</si>
  <si>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</si>
  <si>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</si>
  <si>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</si>
  <si>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</si>
  <si>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</si>
  <si>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</si>
  <si>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</si>
  <si>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</si>
  <si>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</si>
  <si>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</si>
  <si>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</si>
  <si>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</si>
  <si>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</si>
  <si>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</si>
  <si>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</si>
  <si>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</si>
  <si>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</si>
  <si>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</si>
  <si>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</si>
  <si>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</si>
  <si>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</si>
  <si>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</si>
  <si>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</si>
  <si>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</si>
  <si>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</si>
  <si>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Documentation</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</si>
  <si>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</si>
  <si>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</si>
  <si>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</si>
  <si>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</si>
  <si>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</si>
  <si>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</si>
  <si>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</si>
  <si>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</si>
  <si>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</si>
  <si>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</si>
  <si>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</si>
  <si>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</si>
  <si>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</si>
  <si>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</si>
  <si>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</si>
  <si>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</si>
  <si>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</si>
  <si>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</si>
  <si>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</si>
  <si>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Les Os fonctionnent selon les attentes</t>
  </si>
  <si>
    <t>Implémentation du pare-feu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</si>
</sst>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zoomScale="70" zoomScaleNormal="70" zoomScalePageLayoutView="70" workbookViewId="0">
      <selection activeCell="B116" sqref="B116"/>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0.91319444444444442</v>
      </c>
      <c r="C4" s="31"/>
      <c r="D4" s="4">
        <f>SUMIF($C$8:$C$10002,$C9,D$8:D$10002)</f>
        <v>0.68402777777777779</v>
      </c>
      <c r="E4" s="2"/>
      <c r="F4" s="4">
        <f>SUMIF($C$8:$C$10002,$C9,F$8:F$10002)</f>
        <v>0.22916666666666666</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0.4861111111111111</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0.22916666666666666</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0.22916666666666666</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6.25E-2</v>
      </c>
      <c r="E15" s="60"/>
      <c r="F15" s="59">
        <f>SUMIFS(Journal!$D$6:$D$10002,Journal!$B$6:$B$10002,F$5,Journal!$C$6:$C$10002,$B14)</f>
        <v>2.0833333333333332E-2</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0.16666666666666666</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8.3333333333333329E-2</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4.1666666666666664E-2</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4.1666666666666664E-2</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f t="shared" ref="R27" si="12">IF(SUM(D27:Q27)=0,"",SUM(D27:Q27))</f>
        <v>4.1666666666666664E-2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4.1666666666666664E-2</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2.0833333333333332E-2</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2.0833333333333332E-2</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0.21875</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0.10416666666666666</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0.10416666666666666</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3.125E-2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3.125E-2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8.3333333333333329E-2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8.3333333333333329E-2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tabSelected="1" workbookViewId="0">
      <pane ySplit="3" topLeftCell="A4" activePane="bottomLeft" state="frozen"/>
      <selection pane="bottomLeft" activeCell="A27" sqref="A27"/>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45055</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82</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79</v>
      </c>
    </row>
    <row r="16" spans="1:7" x14ac:dyDescent="0.2">
      <c r="A16" s="94">
        <v>45050</v>
      </c>
      <c r="B16" s="95">
        <f t="shared" si="1"/>
        <v>18</v>
      </c>
      <c r="C16" s="96" t="s">
        <v>26</v>
      </c>
      <c r="D16" s="97">
        <v>3.125E-2</v>
      </c>
      <c r="E16" s="98" t="s">
        <v>80</v>
      </c>
    </row>
    <row r="17" spans="1:7" x14ac:dyDescent="0.2">
      <c r="A17" s="94">
        <v>45050</v>
      </c>
      <c r="B17" s="95">
        <f t="shared" si="0"/>
        <v>18</v>
      </c>
      <c r="C17" s="96" t="s">
        <v>26</v>
      </c>
      <c r="D17" s="97">
        <v>6.25E-2</v>
      </c>
      <c r="E17" s="98" t="s">
        <v>81</v>
      </c>
    </row>
    <row r="18" spans="1:7" x14ac:dyDescent="0.2">
      <c r="A18" s="94">
        <v>45050</v>
      </c>
      <c r="B18" s="95">
        <f t="shared" si="0"/>
        <v>18</v>
      </c>
      <c r="C18" s="96" t="s">
        <v>26</v>
      </c>
      <c r="D18" s="97">
        <v>6.25E-2</v>
      </c>
      <c r="E18" s="98" t="s">
        <v>83</v>
      </c>
    </row>
    <row r="19" spans="1:7" x14ac:dyDescent="0.2">
      <c r="A19" s="94">
        <v>45050</v>
      </c>
      <c r="B19" s="95">
        <f t="shared" si="0"/>
        <v>18</v>
      </c>
      <c r="C19" s="96" t="s">
        <v>31</v>
      </c>
      <c r="D19" s="97">
        <v>1.0416666666666666E-2</v>
      </c>
      <c r="E19" s="98" t="s">
        <v>84</v>
      </c>
      <c r="F19" s="113"/>
      <c r="G19" s="113"/>
    </row>
    <row r="20" spans="1:7" ht="16.5" customHeight="1" x14ac:dyDescent="0.2">
      <c r="A20" s="94">
        <v>45054</v>
      </c>
      <c r="B20" s="95">
        <f t="shared" si="0"/>
        <v>19</v>
      </c>
      <c r="C20" s="96" t="s">
        <v>28</v>
      </c>
      <c r="D20" s="97">
        <v>2.0833333333333332E-2</v>
      </c>
      <c r="E20" s="98" t="s">
        <v>95</v>
      </c>
      <c r="F20" s="113"/>
    </row>
    <row r="21" spans="1:7" x14ac:dyDescent="0.2">
      <c r="A21" s="94">
        <v>45054</v>
      </c>
      <c r="B21" s="95">
        <f t="shared" si="0"/>
        <v>19</v>
      </c>
      <c r="C21" s="96" t="s">
        <v>34</v>
      </c>
      <c r="D21" s="97">
        <v>8.3333333333333329E-2</v>
      </c>
      <c r="E21" s="98" t="s">
        <v>96</v>
      </c>
    </row>
    <row r="22" spans="1:7" x14ac:dyDescent="0.2">
      <c r="A22" s="94">
        <v>45054</v>
      </c>
      <c r="B22" s="95">
        <f t="shared" si="0"/>
        <v>19</v>
      </c>
      <c r="C22" s="96" t="s">
        <v>42</v>
      </c>
      <c r="D22" s="97">
        <v>2.0833333333333332E-2</v>
      </c>
      <c r="E22" s="98" t="s">
        <v>97</v>
      </c>
    </row>
    <row r="23" spans="1:7" ht="22.5" x14ac:dyDescent="0.2">
      <c r="A23" s="94">
        <v>45054</v>
      </c>
      <c r="B23" s="95">
        <f t="shared" si="0"/>
        <v>19</v>
      </c>
      <c r="C23" s="96" t="s">
        <v>36</v>
      </c>
      <c r="D23" s="97">
        <v>4.1666666666666664E-2</v>
      </c>
      <c r="E23" s="98" t="s">
        <v>98</v>
      </c>
    </row>
    <row r="24" spans="1:7" x14ac:dyDescent="0.2">
      <c r="A24" s="94">
        <v>45054</v>
      </c>
      <c r="B24" s="95">
        <f t="shared" si="0"/>
        <v>19</v>
      </c>
      <c r="C24" s="96" t="s">
        <v>43</v>
      </c>
      <c r="D24" s="97">
        <v>2.0833333333333332E-2</v>
      </c>
      <c r="E24" s="98" t="s">
        <v>99</v>
      </c>
    </row>
    <row r="25" spans="1:7" x14ac:dyDescent="0.2">
      <c r="A25" s="94">
        <v>45054</v>
      </c>
      <c r="B25" s="95">
        <f t="shared" si="0"/>
        <v>19</v>
      </c>
      <c r="C25" s="96" t="s">
        <v>35</v>
      </c>
      <c r="D25" s="97">
        <v>4.1666666666666664E-2</v>
      </c>
      <c r="E25" s="98" t="s">
        <v>100</v>
      </c>
    </row>
    <row r="26" spans="1:7" x14ac:dyDescent="0.2">
      <c r="A26" s="94">
        <v>45055</v>
      </c>
      <c r="B26" s="95">
        <f t="shared" si="0"/>
        <v>19</v>
      </c>
      <c r="C26" s="96"/>
      <c r="D26" s="97"/>
      <c r="E26" s="98"/>
    </row>
    <row r="27" spans="1:7" x14ac:dyDescent="0.2">
      <c r="A27" s="94"/>
      <c r="B27" s="95">
        <f t="shared" si="0"/>
        <v>0</v>
      </c>
      <c r="C27" s="96"/>
      <c r="D27" s="97"/>
      <c r="E27" s="98"/>
    </row>
    <row r="28" spans="1:7" x14ac:dyDescent="0.2">
      <c r="A28" s="94"/>
      <c r="B28" s="95">
        <f t="shared" si="0"/>
        <v>0</v>
      </c>
      <c r="C28" s="96"/>
      <c r="D28" s="97"/>
      <c r="E28" s="98"/>
    </row>
    <row r="29" spans="1:7" x14ac:dyDescent="0.2">
      <c r="A29" s="94"/>
      <c r="B29" s="95">
        <f t="shared" si="0"/>
        <v>0</v>
      </c>
      <c r="C29" s="96"/>
      <c r="D29" s="97"/>
      <c r="E29" s="98"/>
    </row>
    <row r="30" spans="1:7" x14ac:dyDescent="0.2">
      <c r="A30" s="94"/>
      <c r="B30" s="95">
        <f t="shared" si="0"/>
        <v>0</v>
      </c>
      <c r="C30" s="96"/>
      <c r="D30" s="97"/>
      <c r="E30" s="98"/>
    </row>
    <row r="31" spans="1:7" x14ac:dyDescent="0.2">
      <c r="A31" s="99"/>
      <c r="B31" s="100">
        <f t="shared" si="0"/>
        <v>0</v>
      </c>
      <c r="C31" s="101"/>
      <c r="D31" s="102"/>
      <c r="E31" s="103"/>
    </row>
    <row r="32" spans="1:7"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F23" sqref="F23"/>
    </sheetView>
  </sheetViews>
  <sheetFormatPr baseColWidth="10" defaultRowHeight="15" x14ac:dyDescent="0.25"/>
  <sheetData>
    <row r="1" spans="1:11" x14ac:dyDescent="0.25">
      <c r="A1" t="s">
        <v>85</v>
      </c>
      <c r="B1" t="s">
        <v>86</v>
      </c>
      <c r="D1" t="s">
        <v>87</v>
      </c>
      <c r="E1" t="s">
        <v>88</v>
      </c>
      <c r="F1" t="s">
        <v>89</v>
      </c>
      <c r="G1" t="s">
        <v>90</v>
      </c>
      <c r="H1" t="s">
        <v>91</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92</v>
      </c>
    </row>
    <row r="11" spans="1:11" x14ac:dyDescent="0.25">
      <c r="D11" s="121" t="s">
        <v>93</v>
      </c>
      <c r="E11" s="121"/>
    </row>
    <row r="12" spans="1:11" x14ac:dyDescent="0.25">
      <c r="D12" s="119" t="s">
        <v>94</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2023-05-09T07:10:58Z</dcterms:modified>
</cp:coreProperties>
</file>